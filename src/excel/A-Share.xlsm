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volatileDependencies.xml" ContentType="application/vnd.openxmlformats-officedocument.spreadsheetml.volatileDependenc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19155" windowHeight="7575" tabRatio="641"/>
  </bookViews>
  <sheets>
    <sheet name="Sheet1" sheetId="7" r:id="rId1"/>
    <sheet name="IPO_AShare" sheetId="5" r:id="rId2"/>
    <sheet name="697" sheetId="6" r:id="rId3"/>
    <sheet name="experiment" sheetId="9" r:id="rId4"/>
  </sheets>
  <functionGroups/>
  <definedNames>
    <definedName name="FutureChain">#REF!</definedName>
    <definedName name="MarketName">#REF!</definedName>
    <definedName name="MarketTable">#REF!</definedName>
  </definedNames>
  <calcPr calcId="125725"/>
</workbook>
</file>

<file path=xl/calcChain.xml><?xml version="1.0" encoding="utf-8"?>
<calcChain xmlns="http://schemas.openxmlformats.org/spreadsheetml/2006/main">
  <c r="B16" i="7"/>
  <c r="C10"/>
  <c r="G3"/>
  <c r="D3"/>
  <c r="C1"/>
  <c r="A1" i="9"/>
  <c r="M7" i="6" l="1"/>
  <c r="N7"/>
  <c r="M8"/>
  <c r="N8"/>
  <c r="M9"/>
  <c r="N9"/>
  <c r="M10"/>
  <c r="N10"/>
  <c r="N6"/>
  <c r="M6"/>
  <c r="F3"/>
  <c r="F4"/>
  <c r="F11"/>
  <c r="F12"/>
  <c r="F13"/>
  <c r="P19" i="5"/>
  <c r="Q19"/>
  <c r="P20"/>
  <c r="Q20" s="1"/>
  <c r="P21"/>
  <c r="Q21" s="1"/>
  <c r="P22"/>
  <c r="Q22" s="1"/>
  <c r="P23"/>
  <c r="Q23"/>
  <c r="P24"/>
  <c r="Q24" s="1"/>
  <c r="P25"/>
  <c r="Q25" s="1"/>
  <c r="P26"/>
  <c r="Q26" s="1"/>
  <c r="P27"/>
  <c r="Q27"/>
  <c r="P28"/>
  <c r="Q28" s="1"/>
  <c r="P29"/>
  <c r="Q29" s="1"/>
  <c r="P10"/>
  <c r="Q11"/>
  <c r="Q12"/>
  <c r="Q13"/>
  <c r="Q14"/>
  <c r="Q15"/>
  <c r="Q16"/>
  <c r="Q17"/>
  <c r="Q18"/>
  <c r="Q10"/>
  <c r="P11"/>
  <c r="P12"/>
  <c r="P13"/>
  <c r="P14"/>
  <c r="P15"/>
  <c r="P16"/>
  <c r="P17"/>
  <c r="P18"/>
  <c r="C5" i="7"/>
  <c r="C4"/>
  <c r="C11" l="1"/>
  <c r="C12" s="1"/>
</calcChain>
</file>

<file path=xl/sharedStrings.xml><?xml version="1.0" encoding="utf-8"?>
<sst xmlns="http://schemas.openxmlformats.org/spreadsheetml/2006/main" count="187" uniqueCount="96">
  <si>
    <t>--</t>
  </si>
  <si>
    <t>详细</t>
  </si>
  <si>
    <t>华源包装</t>
  </si>
  <si>
    <t>久远银海</t>
  </si>
  <si>
    <t>华自科技</t>
  </si>
  <si>
    <t>通合科技</t>
  </si>
  <si>
    <t>盛天网络</t>
  </si>
  <si>
    <t>井神股份</t>
  </si>
  <si>
    <t>乾景园林</t>
  </si>
  <si>
    <t>桃李面包</t>
  </si>
  <si>
    <t>中新科技</t>
  </si>
  <si>
    <t>思维列控</t>
  </si>
  <si>
    <t>美尚生态</t>
  </si>
  <si>
    <t>山鼎设计</t>
  </si>
  <si>
    <t>万里石</t>
  </si>
  <si>
    <t>银宝山新</t>
  </si>
  <si>
    <t>奇信股份</t>
  </si>
  <si>
    <t>可立克</t>
  </si>
  <si>
    <t>富祥股份</t>
  </si>
  <si>
    <t>中签号</t>
  </si>
  <si>
    <t>中科创达</t>
  </si>
  <si>
    <t>润欣科技</t>
  </si>
  <si>
    <t>中坚科技</t>
  </si>
  <si>
    <t>三夫户外</t>
  </si>
  <si>
    <t>邦宝益智</t>
  </si>
  <si>
    <t>安记食品</t>
  </si>
  <si>
    <t>读者传媒</t>
  </si>
  <si>
    <t>博敏电子</t>
  </si>
  <si>
    <t>道森股份</t>
  </si>
  <si>
    <t>凯龙股份</t>
  </si>
  <si>
    <t>股票代码</t>
  </si>
  <si>
    <t>股票简称</t>
  </si>
  <si>
    <t>申购代码</t>
  </si>
  <si>
    <t>发行总数</t>
  </si>
  <si>
    <t>(万股)</t>
  </si>
  <si>
    <t>网上发行</t>
  </si>
  <si>
    <t>申购上限</t>
  </si>
  <si>
    <t>发行价</t>
  </si>
  <si>
    <t>发行市盈率</t>
  </si>
  <si>
    <t>申购日期</t>
  </si>
  <si>
    <t>冻结资金</t>
  </si>
  <si>
    <t>(亿元)</t>
  </si>
  <si>
    <t>中签率(%)</t>
  </si>
  <si>
    <t>公布日</t>
  </si>
  <si>
    <t>上市日期</t>
  </si>
  <si>
    <t>发布日期</t>
  </si>
  <si>
    <t>单位净值</t>
  </si>
  <si>
    <t>累计净值</t>
  </si>
  <si>
    <t>日增长率</t>
  </si>
  <si>
    <t>*</t>
  </si>
  <si>
    <t>IPO</t>
  </si>
  <si>
    <t>BOND</t>
  </si>
  <si>
    <t>PHTN</t>
  </si>
  <si>
    <t>Field:</t>
  </si>
  <si>
    <t>Rics:</t>
  </si>
  <si>
    <t>Static Structure:</t>
  </si>
  <si>
    <t>PHTB</t>
  </si>
  <si>
    <t>601600.ss</t>
  </si>
  <si>
    <t>600610.ss</t>
  </si>
  <si>
    <t>BID</t>
  </si>
  <si>
    <t>ASK</t>
  </si>
  <si>
    <t>Real-Time:</t>
  </si>
  <si>
    <t>History (ASK):</t>
  </si>
  <si>
    <t>History (BID):</t>
  </si>
  <si>
    <t>Initial:</t>
  </si>
  <si>
    <t>Transaction:</t>
  </si>
  <si>
    <t>Shares:</t>
  </si>
  <si>
    <t>Profit:</t>
  </si>
  <si>
    <t>Profit(%):</t>
  </si>
  <si>
    <t>Company Common Name</t>
  </si>
  <si>
    <t>P/E (Daily Time Series Ratio)</t>
  </si>
  <si>
    <t>TRBC Industry Group Name</t>
  </si>
  <si>
    <t>TRBC Economic Sector Name</t>
  </si>
  <si>
    <t>Portfolio Shares</t>
  </si>
  <si>
    <t>Portfolio Weight</t>
  </si>
  <si>
    <t>600000.SS</t>
  </si>
  <si>
    <t>Shanghai Pudong Development Bank Co Ltd</t>
  </si>
  <si>
    <t>Banking Services</t>
  </si>
  <si>
    <t>Financials</t>
  </si>
  <si>
    <t>Unable to collect data for some field(s).</t>
  </si>
  <si>
    <t>000751.SZ</t>
  </si>
  <si>
    <t>Huludao Zinc Industry Co Ltd</t>
  </si>
  <si>
    <t>Metals &amp; Mining</t>
  </si>
  <si>
    <t>Basic Materials</t>
  </si>
  <si>
    <t>000001.SZ</t>
  </si>
  <si>
    <t>Ping An Bank Co Ltd</t>
  </si>
  <si>
    <t>300059.SZ</t>
  </si>
  <si>
    <t>East Money Information Co Ltd</t>
  </si>
  <si>
    <t>Professional &amp; Commercial Services</t>
  </si>
  <si>
    <t>Industrials</t>
  </si>
  <si>
    <t>RIC:</t>
  </si>
  <si>
    <t>Name:</t>
  </si>
  <si>
    <t>tax:</t>
  </si>
  <si>
    <t>601669.ss</t>
  </si>
  <si>
    <t>601390.ss</t>
  </si>
  <si>
    <t>====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</si>
</sst>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[$¥-804]#,##0.00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宋体"/>
    </font>
    <font>
      <u/>
      <sz val="11"/>
      <color theme="10"/>
      <name val="Calibri"/>
      <family val="2"/>
    </font>
    <font>
      <u/>
      <sz val="11"/>
      <color theme="3"/>
      <name val="Calibri"/>
      <family val="2"/>
    </font>
    <font>
      <sz val="11"/>
      <color theme="3"/>
      <name val="宋体"/>
    </font>
    <font>
      <sz val="11"/>
      <color theme="3"/>
      <name val="Calibri"/>
      <family val="2"/>
      <scheme val="minor"/>
    </font>
    <font>
      <sz val="9"/>
      <color rgb="FF999999"/>
      <name val="Times New Roman"/>
      <family val="1"/>
    </font>
    <font>
      <sz val="9"/>
      <color rgb="FF000000"/>
      <name val="Times New Roman"/>
      <family val="1"/>
    </font>
    <font>
      <sz val="9"/>
      <color rgb="FFAA0000"/>
      <name val="Times New Roman"/>
      <family val="1"/>
    </font>
    <font>
      <sz val="9"/>
      <color rgb="FF00990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E7EAE1"/>
        <bgColor indexed="64"/>
      </patternFill>
    </fill>
    <fill>
      <patternFill patternType="solid">
        <fgColor rgb="FFF5F6F5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rgb="FFFFFFF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0" fillId="0" borderId="0" xfId="0" quotePrefix="1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1" fillId="2" borderId="0" xfId="0" applyFont="1" applyFill="1"/>
    <xf numFmtId="0" fontId="4" fillId="0" borderId="0" xfId="1" applyFont="1" applyFill="1" applyBorder="1" applyAlignment="1" applyProtection="1">
      <alignment horizontal="center" wrapText="1"/>
    </xf>
    <xf numFmtId="0" fontId="5" fillId="0" borderId="0" xfId="0" applyFont="1" applyFill="1" applyBorder="1" applyAlignment="1">
      <alignment horizontal="center" wrapText="1"/>
    </xf>
    <xf numFmtId="0" fontId="5" fillId="0" borderId="0" xfId="0" applyFont="1" applyFill="1" applyBorder="1" applyAlignment="1">
      <alignment horizontal="right" wrapText="1"/>
    </xf>
    <xf numFmtId="16" fontId="5" fillId="0" borderId="0" xfId="0" applyNumberFormat="1" applyFont="1" applyFill="1" applyBorder="1" applyAlignment="1">
      <alignment horizontal="center" wrapText="1"/>
    </xf>
    <xf numFmtId="0" fontId="6" fillId="0" borderId="0" xfId="0" applyFont="1" applyFill="1" applyBorder="1"/>
    <xf numFmtId="164" fontId="5" fillId="0" borderId="0" xfId="0" applyNumberFormat="1" applyFont="1" applyFill="1" applyBorder="1" applyAlignment="1">
      <alignment horizontal="center" wrapText="1"/>
    </xf>
    <xf numFmtId="164" fontId="6" fillId="0" borderId="0" xfId="0" applyNumberFormat="1" applyFont="1" applyFill="1" applyBorder="1"/>
    <xf numFmtId="0" fontId="2" fillId="3" borderId="0" xfId="0" applyFont="1" applyFill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right" vertical="center" wrapText="1"/>
    </xf>
    <xf numFmtId="0" fontId="8" fillId="5" borderId="0" xfId="0" applyFont="1" applyFill="1" applyAlignment="1">
      <alignment horizontal="center" wrapText="1"/>
    </xf>
    <xf numFmtId="10" fontId="9" fillId="5" borderId="0" xfId="0" applyNumberFormat="1" applyFont="1" applyFill="1" applyAlignment="1">
      <alignment horizontal="center" wrapText="1"/>
    </xf>
    <xf numFmtId="10" fontId="10" fillId="5" borderId="0" xfId="0" applyNumberFormat="1" applyFont="1" applyFill="1" applyAlignment="1">
      <alignment horizontal="center" wrapText="1"/>
    </xf>
    <xf numFmtId="164" fontId="7" fillId="4" borderId="1" xfId="0" applyNumberFormat="1" applyFont="1" applyFill="1" applyBorder="1" applyAlignment="1">
      <alignment horizontal="center" vertical="center" wrapText="1"/>
    </xf>
    <xf numFmtId="164" fontId="8" fillId="5" borderId="0" xfId="0" applyNumberFormat="1" applyFont="1" applyFill="1" applyAlignment="1">
      <alignment horizontal="center" wrapText="1"/>
    </xf>
    <xf numFmtId="164" fontId="0" fillId="0" borderId="0" xfId="0" applyNumberFormat="1"/>
    <xf numFmtId="2" fontId="6" fillId="0" borderId="0" xfId="0" applyNumberFormat="1" applyFont="1" applyFill="1" applyBorder="1"/>
    <xf numFmtId="2" fontId="0" fillId="0" borderId="0" xfId="0" applyNumberFormat="1"/>
    <xf numFmtId="0" fontId="11" fillId="2" borderId="0" xfId="0" applyFont="1" applyFill="1"/>
    <xf numFmtId="0" fontId="12" fillId="2" borderId="0" xfId="0" applyFont="1" applyFill="1"/>
    <xf numFmtId="0" fontId="12" fillId="6" borderId="0" xfId="0" applyFont="1" applyFill="1"/>
    <xf numFmtId="0" fontId="11" fillId="6" borderId="0" xfId="0" applyFont="1" applyFill="1"/>
    <xf numFmtId="2" fontId="1" fillId="0" borderId="0" xfId="0" applyNumberFormat="1" applyFont="1" applyAlignment="1">
      <alignment horizontal="right"/>
    </xf>
    <xf numFmtId="10" fontId="0" fillId="0" borderId="0" xfId="0" applyNumberFormat="1"/>
    <xf numFmtId="165" fontId="0" fillId="0" borderId="0" xfId="0" applyNumberFormat="1"/>
    <xf numFmtId="0" fontId="2" fillId="3" borderId="0" xfId="0" applyFont="1" applyFill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volatileDependencies.xml><?xml version="1.0" encoding="utf-8"?>
<volTypes xmlns="http://schemas.openxmlformats.org/spreadsheetml/2006/main">
  <volType type="realTimeData">
    <main first="pldatasource.trrtdserver">
      <tp t="s">
        <v>Aluminum Corp of China Ltd</v>
        <stp/>
        <stp>{E2394DC5-9E9E-41C5-91BD-C077A0854C48}_x0000_</stp>
        <tr r="C1" s="7"/>
      </tp>
      <tp t="s">
        <v>Updated at 11:41:11</v>
        <stp/>
        <stp>{13CF362D-9491-4E8D-801A-767DDEF08C29}_x0000_</stp>
        <tr r="A1" s="9"/>
      </tp>
    </main>
    <main first="pldatasource.rhistoryrtdserver">
      <tp t="s">
        <v>Real-Time Engine Initialization Error</v>
        <stp/>
        <stp>{957975D1-4431-4149-81C6-1420E1EFE595}_x0000_</stp>
        <tr r="G3" s="7"/>
      </tp>
    </main>
    <main first="pldatasource.rtgetrtdserver">
      <tp>
        <v>4.53</v>
        <stp/>
        <stp xml:space="preserve">	601600.ss_x0003_BID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4" s="7"/>
      </tp>
    </main>
    <main first="pldatasource.rhistoryrtdserver">
      <tp t="s">
        <v>Real-Time Engine Initialization Error</v>
        <stp/>
        <stp>{AD76C215-F3F2-49FA-B56D-0B1C60450590}_x0000_</stp>
        <tr r="D3" s="7"/>
      </tp>
    </main>
    <main first="pldatasource.rtgetrtdserver">
      <tp>
        <v>4.54</v>
        <stp/>
        <stp xml:space="preserve">	601600.ss_x0003_ASKÿ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5" s="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8</xdr:col>
      <xdr:colOff>95250</xdr:colOff>
      <xdr:row>0</xdr:row>
      <xdr:rowOff>104775</xdr:rowOff>
    </xdr:to>
    <xdr:pic>
      <xdr:nvPicPr>
        <xdr:cNvPr id="1025" name="Picture 1" descr="http://datainfo.hexun.com/newstock/img/img_10.gi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72450" y="0"/>
          <a:ext cx="95250" cy="1047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stockdata.stock.hexun.com/300494.shtml" TargetMode="External"/><Relationship Id="rId18" Type="http://schemas.openxmlformats.org/officeDocument/2006/relationships/hyperlink" Target="http://datainfo.hexun.com/urwh/newstock/xgzl/stockcode/603299.shtml" TargetMode="External"/><Relationship Id="rId26" Type="http://schemas.openxmlformats.org/officeDocument/2006/relationships/hyperlink" Target="http://stockdata.stock.hexun.com/603996.shtml" TargetMode="External"/><Relationship Id="rId39" Type="http://schemas.openxmlformats.org/officeDocument/2006/relationships/hyperlink" Target="http://datainfo.hexun.com/urwh/newstock/xgzl/stockcode/002785.shtml" TargetMode="External"/><Relationship Id="rId21" Type="http://schemas.openxmlformats.org/officeDocument/2006/relationships/hyperlink" Target="http://datainfo.hexun.com/urwh/newstock/xgzl/stockcode/603778.shtml" TargetMode="External"/><Relationship Id="rId34" Type="http://schemas.openxmlformats.org/officeDocument/2006/relationships/hyperlink" Target="http://stockdata.stock.hexun.com/300492.shtml" TargetMode="External"/><Relationship Id="rId42" Type="http://schemas.openxmlformats.org/officeDocument/2006/relationships/hyperlink" Target="http://datainfo.hexun.com/urwh/newstock/xgzl/stockcode/002786.shtml" TargetMode="External"/><Relationship Id="rId47" Type="http://schemas.openxmlformats.org/officeDocument/2006/relationships/hyperlink" Target="http://stockdata.stock.hexun.com/002782.shtml" TargetMode="External"/><Relationship Id="rId50" Type="http://schemas.openxmlformats.org/officeDocument/2006/relationships/hyperlink" Target="http://stockdata.stock.hexun.com/300497.shtml" TargetMode="External"/><Relationship Id="rId55" Type="http://schemas.openxmlformats.org/officeDocument/2006/relationships/hyperlink" Target="javascript:void(0)" TargetMode="External"/><Relationship Id="rId63" Type="http://schemas.openxmlformats.org/officeDocument/2006/relationships/hyperlink" Target="javascript:void(0)" TargetMode="External"/><Relationship Id="rId68" Type="http://schemas.openxmlformats.org/officeDocument/2006/relationships/hyperlink" Target="http://datainfo.hexun.com/urwh/newstock/xgzl/stockcode/002780.shtml" TargetMode="External"/><Relationship Id="rId76" Type="http://schemas.openxmlformats.org/officeDocument/2006/relationships/hyperlink" Target="http://datainfo.hexun.com/urwh/newstock/xgzl/stockcode/603696.shtml" TargetMode="External"/><Relationship Id="rId84" Type="http://schemas.openxmlformats.org/officeDocument/2006/relationships/hyperlink" Target="http://datainfo.hexun.com/urwh/newstock/xgzl/stockcode/603936.shtml" TargetMode="External"/><Relationship Id="rId89" Type="http://schemas.openxmlformats.org/officeDocument/2006/relationships/hyperlink" Target="http://stockdata.stock.hexun.com/002783.shtml" TargetMode="External"/><Relationship Id="rId7" Type="http://schemas.openxmlformats.org/officeDocument/2006/relationships/hyperlink" Target="http://stockdata.stock.hexun.com/300490.shtml" TargetMode="External"/><Relationship Id="rId71" Type="http://schemas.openxmlformats.org/officeDocument/2006/relationships/hyperlink" Target="javascript:void(0)" TargetMode="External"/><Relationship Id="rId92" Type="http://schemas.openxmlformats.org/officeDocument/2006/relationships/hyperlink" Target="http://datainfo.hexun.com/urwh/newstock/xgzl/stockcode/002783.shtml" TargetMode="External"/><Relationship Id="rId2" Type="http://schemas.openxmlformats.org/officeDocument/2006/relationships/hyperlink" Target="http://stockdata.stock.hexun.com/002787.shtml" TargetMode="External"/><Relationship Id="rId16" Type="http://schemas.openxmlformats.org/officeDocument/2006/relationships/hyperlink" Target="http://stockdata.stock.hexun.com/603299.shtml" TargetMode="External"/><Relationship Id="rId29" Type="http://schemas.openxmlformats.org/officeDocument/2006/relationships/hyperlink" Target="http://stockdata.stock.hexun.com/603508.shtml" TargetMode="External"/><Relationship Id="rId11" Type="http://schemas.openxmlformats.org/officeDocument/2006/relationships/hyperlink" Target="http://stockdata.stock.hexun.com/300491.shtml" TargetMode="External"/><Relationship Id="rId24" Type="http://schemas.openxmlformats.org/officeDocument/2006/relationships/hyperlink" Target="http://datainfo.hexun.com/urwh/newstock/xgzl/stockcode/603866.shtml" TargetMode="External"/><Relationship Id="rId32" Type="http://schemas.openxmlformats.org/officeDocument/2006/relationships/hyperlink" Target="http://stockdata.stock.hexun.com/300495.shtml" TargetMode="External"/><Relationship Id="rId37" Type="http://schemas.openxmlformats.org/officeDocument/2006/relationships/hyperlink" Target="http://stockdata.stock.hexun.com/002785.shtml" TargetMode="External"/><Relationship Id="rId40" Type="http://schemas.openxmlformats.org/officeDocument/2006/relationships/hyperlink" Target="http://stockdata.stock.hexun.com/002786.shtml" TargetMode="External"/><Relationship Id="rId45" Type="http://schemas.openxmlformats.org/officeDocument/2006/relationships/hyperlink" Target="http://datainfo.hexun.com/urwh/newstock/xgzl/stockcode/002781.shtml" TargetMode="External"/><Relationship Id="rId53" Type="http://schemas.openxmlformats.org/officeDocument/2006/relationships/hyperlink" Target="http://stockdata.stock.hexun.com/300496.shtml" TargetMode="External"/><Relationship Id="rId58" Type="http://schemas.openxmlformats.org/officeDocument/2006/relationships/hyperlink" Target="http://stockdata.stock.hexun.com/300493.shtml" TargetMode="External"/><Relationship Id="rId66" Type="http://schemas.openxmlformats.org/officeDocument/2006/relationships/hyperlink" Target="http://stockdata.stock.hexun.com/002780.shtml" TargetMode="External"/><Relationship Id="rId74" Type="http://schemas.openxmlformats.org/officeDocument/2006/relationships/hyperlink" Target="http://stockdata.stock.hexun.com/603696.shtml" TargetMode="External"/><Relationship Id="rId79" Type="http://schemas.openxmlformats.org/officeDocument/2006/relationships/hyperlink" Target="javascript:void(0)" TargetMode="External"/><Relationship Id="rId87" Type="http://schemas.openxmlformats.org/officeDocument/2006/relationships/hyperlink" Target="javascript:void(0)" TargetMode="External"/><Relationship Id="rId5" Type="http://schemas.openxmlformats.org/officeDocument/2006/relationships/hyperlink" Target="http://stockdata.stock.hexun.com/002777.shtml" TargetMode="External"/><Relationship Id="rId61" Type="http://schemas.openxmlformats.org/officeDocument/2006/relationships/hyperlink" Target="http://stockdata.stock.hexun.com/002779.shtml" TargetMode="External"/><Relationship Id="rId82" Type="http://schemas.openxmlformats.org/officeDocument/2006/relationships/hyperlink" Target="http://stockdata.stock.hexun.com/603936.shtml" TargetMode="External"/><Relationship Id="rId90" Type="http://schemas.openxmlformats.org/officeDocument/2006/relationships/hyperlink" Target="http://stockdata.stock.hexun.com/002783.shtml" TargetMode="External"/><Relationship Id="rId19" Type="http://schemas.openxmlformats.org/officeDocument/2006/relationships/hyperlink" Target="http://stockdata.stock.hexun.com/603778.shtml" TargetMode="External"/><Relationship Id="rId14" Type="http://schemas.openxmlformats.org/officeDocument/2006/relationships/hyperlink" Target="http://stockdata.stock.hexun.com/300494.shtml" TargetMode="External"/><Relationship Id="rId22" Type="http://schemas.openxmlformats.org/officeDocument/2006/relationships/hyperlink" Target="http://stockdata.stock.hexun.com/603866.shtml" TargetMode="External"/><Relationship Id="rId27" Type="http://schemas.openxmlformats.org/officeDocument/2006/relationships/hyperlink" Target="http://datainfo.hexun.com/urwh/newstock/xgzl/stockcode/603996.shtml" TargetMode="External"/><Relationship Id="rId30" Type="http://schemas.openxmlformats.org/officeDocument/2006/relationships/hyperlink" Target="http://datainfo.hexun.com/urwh/newstock/xgzl/stockcode/603508.shtml" TargetMode="External"/><Relationship Id="rId35" Type="http://schemas.openxmlformats.org/officeDocument/2006/relationships/hyperlink" Target="http://stockdata.stock.hexun.com/300492.shtml" TargetMode="External"/><Relationship Id="rId43" Type="http://schemas.openxmlformats.org/officeDocument/2006/relationships/hyperlink" Target="http://stockdata.stock.hexun.com/002781.shtml" TargetMode="External"/><Relationship Id="rId48" Type="http://schemas.openxmlformats.org/officeDocument/2006/relationships/hyperlink" Target="http://datainfo.hexun.com/urwh/newstock/xgzl/stockcode/002782.shtml" TargetMode="External"/><Relationship Id="rId56" Type="http://schemas.openxmlformats.org/officeDocument/2006/relationships/hyperlink" Target="http://datainfo.hexun.com/urwh/newstock/xgzl/stockcode/300496.shtml" TargetMode="External"/><Relationship Id="rId64" Type="http://schemas.openxmlformats.org/officeDocument/2006/relationships/hyperlink" Target="http://datainfo.hexun.com/urwh/newstock/xgzl/stockcode/002779.shtml" TargetMode="External"/><Relationship Id="rId69" Type="http://schemas.openxmlformats.org/officeDocument/2006/relationships/hyperlink" Target="http://stockdata.stock.hexun.com/603398.shtml" TargetMode="External"/><Relationship Id="rId77" Type="http://schemas.openxmlformats.org/officeDocument/2006/relationships/hyperlink" Target="http://stockdata.stock.hexun.com/603999.shtml" TargetMode="External"/><Relationship Id="rId8" Type="http://schemas.openxmlformats.org/officeDocument/2006/relationships/hyperlink" Target="http://stockdata.stock.hexun.com/300490.shtml" TargetMode="External"/><Relationship Id="rId51" Type="http://schemas.openxmlformats.org/officeDocument/2006/relationships/hyperlink" Target="javascript:void(0)" TargetMode="External"/><Relationship Id="rId72" Type="http://schemas.openxmlformats.org/officeDocument/2006/relationships/hyperlink" Target="http://datainfo.hexun.com/urwh/newstock/xgzl/stockcode/603398.shtml" TargetMode="External"/><Relationship Id="rId80" Type="http://schemas.openxmlformats.org/officeDocument/2006/relationships/hyperlink" Target="http://datainfo.hexun.com/urwh/newstock/xgzl/stockcode/603999.shtml" TargetMode="External"/><Relationship Id="rId85" Type="http://schemas.openxmlformats.org/officeDocument/2006/relationships/hyperlink" Target="http://stockdata.stock.hexun.com/603800.shtml" TargetMode="External"/><Relationship Id="rId93" Type="http://schemas.openxmlformats.org/officeDocument/2006/relationships/printerSettings" Target="../printerSettings/printerSettings2.bin"/><Relationship Id="rId3" Type="http://schemas.openxmlformats.org/officeDocument/2006/relationships/hyperlink" Target="http://datainfo.hexun.com/urwh/newstock/xgzl/stockcode/002787.shtml" TargetMode="External"/><Relationship Id="rId12" Type="http://schemas.openxmlformats.org/officeDocument/2006/relationships/hyperlink" Target="http://datainfo.hexun.com/urwh/newstock/xgzl/stockcode/300491.shtml" TargetMode="External"/><Relationship Id="rId17" Type="http://schemas.openxmlformats.org/officeDocument/2006/relationships/hyperlink" Target="http://stockdata.stock.hexun.com/603299.shtml" TargetMode="External"/><Relationship Id="rId25" Type="http://schemas.openxmlformats.org/officeDocument/2006/relationships/hyperlink" Target="http://stockdata.stock.hexun.com/603996.shtml" TargetMode="External"/><Relationship Id="rId33" Type="http://schemas.openxmlformats.org/officeDocument/2006/relationships/hyperlink" Target="http://datainfo.hexun.com/urwh/newstock/xgzl/stockcode/300495.shtml" TargetMode="External"/><Relationship Id="rId38" Type="http://schemas.openxmlformats.org/officeDocument/2006/relationships/hyperlink" Target="http://stockdata.stock.hexun.com/002785.shtml" TargetMode="External"/><Relationship Id="rId46" Type="http://schemas.openxmlformats.org/officeDocument/2006/relationships/hyperlink" Target="http://stockdata.stock.hexun.com/002782.shtml" TargetMode="External"/><Relationship Id="rId59" Type="http://schemas.openxmlformats.org/officeDocument/2006/relationships/hyperlink" Target="javascript:void(0)" TargetMode="External"/><Relationship Id="rId67" Type="http://schemas.openxmlformats.org/officeDocument/2006/relationships/hyperlink" Target="javascript:void(0)" TargetMode="External"/><Relationship Id="rId20" Type="http://schemas.openxmlformats.org/officeDocument/2006/relationships/hyperlink" Target="http://stockdata.stock.hexun.com/603778.shtml" TargetMode="External"/><Relationship Id="rId41" Type="http://schemas.openxmlformats.org/officeDocument/2006/relationships/hyperlink" Target="http://stockdata.stock.hexun.com/002786.shtml" TargetMode="External"/><Relationship Id="rId54" Type="http://schemas.openxmlformats.org/officeDocument/2006/relationships/hyperlink" Target="http://stockdata.stock.hexun.com/300496.shtml" TargetMode="External"/><Relationship Id="rId62" Type="http://schemas.openxmlformats.org/officeDocument/2006/relationships/hyperlink" Target="http://stockdata.stock.hexun.com/002779.shtml" TargetMode="External"/><Relationship Id="rId70" Type="http://schemas.openxmlformats.org/officeDocument/2006/relationships/hyperlink" Target="http://stockdata.stock.hexun.com/603398.shtml" TargetMode="External"/><Relationship Id="rId75" Type="http://schemas.openxmlformats.org/officeDocument/2006/relationships/hyperlink" Target="javascript:void(0)" TargetMode="External"/><Relationship Id="rId83" Type="http://schemas.openxmlformats.org/officeDocument/2006/relationships/hyperlink" Target="javascript:void(0)" TargetMode="External"/><Relationship Id="rId88" Type="http://schemas.openxmlformats.org/officeDocument/2006/relationships/hyperlink" Target="http://datainfo.hexun.com/urwh/newstock/xgzl/stockcode/603800.shtml" TargetMode="External"/><Relationship Id="rId91" Type="http://schemas.openxmlformats.org/officeDocument/2006/relationships/hyperlink" Target="javascript:void(0)" TargetMode="External"/><Relationship Id="rId1" Type="http://schemas.openxmlformats.org/officeDocument/2006/relationships/hyperlink" Target="http://stockdata.stock.hexun.com/002787.shtml" TargetMode="External"/><Relationship Id="rId6" Type="http://schemas.openxmlformats.org/officeDocument/2006/relationships/hyperlink" Target="http://datainfo.hexun.com/urwh/newstock/xgzl/stockcode/002777.shtml" TargetMode="External"/><Relationship Id="rId15" Type="http://schemas.openxmlformats.org/officeDocument/2006/relationships/hyperlink" Target="http://datainfo.hexun.com/urwh/newstock/xgzl/stockcode/300494.shtml" TargetMode="External"/><Relationship Id="rId23" Type="http://schemas.openxmlformats.org/officeDocument/2006/relationships/hyperlink" Target="http://stockdata.stock.hexun.com/603866.shtml" TargetMode="External"/><Relationship Id="rId28" Type="http://schemas.openxmlformats.org/officeDocument/2006/relationships/hyperlink" Target="http://stockdata.stock.hexun.com/603508.shtml" TargetMode="External"/><Relationship Id="rId36" Type="http://schemas.openxmlformats.org/officeDocument/2006/relationships/hyperlink" Target="http://datainfo.hexun.com/urwh/newstock/xgzl/stockcode/300492.shtml" TargetMode="External"/><Relationship Id="rId49" Type="http://schemas.openxmlformats.org/officeDocument/2006/relationships/hyperlink" Target="http://stockdata.stock.hexun.com/300497.shtml" TargetMode="External"/><Relationship Id="rId57" Type="http://schemas.openxmlformats.org/officeDocument/2006/relationships/hyperlink" Target="http://stockdata.stock.hexun.com/300493.shtml" TargetMode="External"/><Relationship Id="rId10" Type="http://schemas.openxmlformats.org/officeDocument/2006/relationships/hyperlink" Target="http://stockdata.stock.hexun.com/300491.shtml" TargetMode="External"/><Relationship Id="rId31" Type="http://schemas.openxmlformats.org/officeDocument/2006/relationships/hyperlink" Target="http://stockdata.stock.hexun.com/300495.shtml" TargetMode="External"/><Relationship Id="rId44" Type="http://schemas.openxmlformats.org/officeDocument/2006/relationships/hyperlink" Target="http://stockdata.stock.hexun.com/002781.shtml" TargetMode="External"/><Relationship Id="rId52" Type="http://schemas.openxmlformats.org/officeDocument/2006/relationships/hyperlink" Target="http://datainfo.hexun.com/urwh/newstock/xgzl/stockcode/300497.shtml" TargetMode="External"/><Relationship Id="rId60" Type="http://schemas.openxmlformats.org/officeDocument/2006/relationships/hyperlink" Target="http://datainfo.hexun.com/urwh/newstock/xgzl/stockcode/300493.shtml" TargetMode="External"/><Relationship Id="rId65" Type="http://schemas.openxmlformats.org/officeDocument/2006/relationships/hyperlink" Target="http://stockdata.stock.hexun.com/002780.shtml" TargetMode="External"/><Relationship Id="rId73" Type="http://schemas.openxmlformats.org/officeDocument/2006/relationships/hyperlink" Target="http://stockdata.stock.hexun.com/603696.shtml" TargetMode="External"/><Relationship Id="rId78" Type="http://schemas.openxmlformats.org/officeDocument/2006/relationships/hyperlink" Target="http://stockdata.stock.hexun.com/603999.shtml" TargetMode="External"/><Relationship Id="rId81" Type="http://schemas.openxmlformats.org/officeDocument/2006/relationships/hyperlink" Target="http://stockdata.stock.hexun.com/603936.shtml" TargetMode="External"/><Relationship Id="rId86" Type="http://schemas.openxmlformats.org/officeDocument/2006/relationships/hyperlink" Target="http://stockdata.stock.hexun.com/603800.shtml" TargetMode="External"/><Relationship Id="rId94" Type="http://schemas.openxmlformats.org/officeDocument/2006/relationships/drawing" Target="../drawings/drawing1.xml"/><Relationship Id="rId4" Type="http://schemas.openxmlformats.org/officeDocument/2006/relationships/hyperlink" Target="http://stockdata.stock.hexun.com/002777.shtml" TargetMode="External"/><Relationship Id="rId9" Type="http://schemas.openxmlformats.org/officeDocument/2006/relationships/hyperlink" Target="http://datainfo.hexun.com/urwh/newstock/xgzl/stockcode/300490.s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I46"/>
  <sheetViews>
    <sheetView tabSelected="1" workbookViewId="0">
      <selection activeCell="G4" sqref="G4"/>
    </sheetView>
  </sheetViews>
  <sheetFormatPr defaultRowHeight="15"/>
  <cols>
    <col min="2" max="2" width="11.7109375" bestFit="1" customWidth="1"/>
    <col min="3" max="3" width="26.28515625" bestFit="1" customWidth="1"/>
    <col min="4" max="4" width="13.28515625" style="23" bestFit="1" customWidth="1"/>
    <col min="5" max="5" width="9.140625" style="23"/>
    <col min="6" max="6" width="10.7109375" bestFit="1" customWidth="1"/>
    <col min="7" max="7" width="11.85546875" bestFit="1" customWidth="1"/>
    <col min="9" max="9" width="10.7109375" bestFit="1" customWidth="1"/>
  </cols>
  <sheetData>
    <row r="1" spans="1:9">
      <c r="A1" s="1" t="s">
        <v>95</v>
      </c>
      <c r="B1" s="5" t="s">
        <v>91</v>
      </c>
      <c r="C1" s="4" t="str">
        <f>_xll.TR(C2,"TR.CommonName")</f>
        <v>Aluminum Corp of China Ltd</v>
      </c>
    </row>
    <row r="2" spans="1:9">
      <c r="A2" t="s">
        <v>57</v>
      </c>
      <c r="B2" s="25" t="s">
        <v>90</v>
      </c>
      <c r="C2" s="24" t="s">
        <v>57</v>
      </c>
      <c r="D2" s="28" t="s">
        <v>62</v>
      </c>
      <c r="G2" s="28" t="s">
        <v>63</v>
      </c>
    </row>
    <row r="3" spans="1:9">
      <c r="A3" t="s">
        <v>58</v>
      </c>
      <c r="B3" s="26" t="s">
        <v>61</v>
      </c>
      <c r="C3" s="27"/>
      <c r="D3" s="23" t="str">
        <f>_xll.RHistory(C2,"ASK.CLOSE;ASK.OPEN;ASK.TIMESTAMP"," START:26DEC15  INTERVAL:1D",,)</f>
        <v>Real-Time Engine Initialization Error</v>
      </c>
      <c r="E3" s="23" t="e">
        <v>#N/A</v>
      </c>
      <c r="F3" s="2">
        <v>42422</v>
      </c>
      <c r="G3" t="str">
        <f>_xll.RHistory(C2,"BID.CLOSE;BID.OPEN;BID.TIMESTAMP"," START:26DEC15  INTERVAL:1D",,)</f>
        <v>Real-Time Engine Initialization Error</v>
      </c>
      <c r="H3" t="e">
        <v>#N/A</v>
      </c>
      <c r="I3" s="2">
        <v>42422</v>
      </c>
    </row>
    <row r="4" spans="1:9">
      <c r="A4" t="s">
        <v>93</v>
      </c>
      <c r="B4" s="26" t="s">
        <v>59</v>
      </c>
      <c r="C4" s="27">
        <f>_xll.RtGet(,C2,B4,)</f>
        <v>4.53</v>
      </c>
      <c r="D4" s="23">
        <v>7.98</v>
      </c>
      <c r="E4" s="23" t="e">
        <v>#N/A</v>
      </c>
      <c r="F4" s="2">
        <v>42419</v>
      </c>
      <c r="G4">
        <v>7.97</v>
      </c>
      <c r="H4" t="e">
        <v>#N/A</v>
      </c>
      <c r="I4" s="2">
        <v>42419</v>
      </c>
    </row>
    <row r="5" spans="1:9">
      <c r="A5" t="s">
        <v>94</v>
      </c>
      <c r="B5" s="26" t="s">
        <v>60</v>
      </c>
      <c r="C5" s="27">
        <f>_xll.RtGet(,C2,B5,)</f>
        <v>4.54</v>
      </c>
      <c r="D5" s="23">
        <v>7.99</v>
      </c>
      <c r="E5" s="23" t="e">
        <v>#N/A</v>
      </c>
      <c r="F5" s="2">
        <v>42418</v>
      </c>
      <c r="G5">
        <v>7.98</v>
      </c>
      <c r="H5" t="e">
        <v>#N/A</v>
      </c>
      <c r="I5" s="2">
        <v>42418</v>
      </c>
    </row>
    <row r="6" spans="1:9">
      <c r="A6" s="1" t="s">
        <v>95</v>
      </c>
      <c r="D6" s="23">
        <v>8.08</v>
      </c>
      <c r="E6" s="23" t="e">
        <v>#N/A</v>
      </c>
      <c r="F6" s="2">
        <v>42417</v>
      </c>
      <c r="G6">
        <v>8.07</v>
      </c>
      <c r="H6" t="e">
        <v>#N/A</v>
      </c>
      <c r="I6" s="2">
        <v>42417</v>
      </c>
    </row>
    <row r="7" spans="1:9">
      <c r="B7" t="s">
        <v>64</v>
      </c>
      <c r="C7" s="30">
        <v>4.0999999999999996</v>
      </c>
      <c r="D7" s="23">
        <v>7.91</v>
      </c>
      <c r="E7" s="23" t="e">
        <v>#N/A</v>
      </c>
      <c r="F7" s="2">
        <v>42416</v>
      </c>
      <c r="G7">
        <v>7.9</v>
      </c>
      <c r="H7" t="e">
        <v>#N/A</v>
      </c>
      <c r="I7" s="2">
        <v>42416</v>
      </c>
    </row>
    <row r="8" spans="1:9">
      <c r="B8" s="23" t="s">
        <v>66</v>
      </c>
      <c r="C8">
        <v>100</v>
      </c>
      <c r="D8" s="23">
        <v>7.6</v>
      </c>
      <c r="E8" s="23" t="e">
        <v>#N/A</v>
      </c>
      <c r="F8" s="2">
        <v>42415</v>
      </c>
      <c r="G8">
        <v>7.59</v>
      </c>
      <c r="H8" t="e">
        <v>#N/A</v>
      </c>
      <c r="I8" s="2">
        <v>42415</v>
      </c>
    </row>
    <row r="9" spans="1:9">
      <c r="B9" t="s">
        <v>65</v>
      </c>
      <c r="C9" s="30">
        <v>5</v>
      </c>
      <c r="D9" s="23">
        <v>7.73</v>
      </c>
      <c r="E9" s="23" t="e">
        <v>#N/A</v>
      </c>
      <c r="F9" s="2">
        <v>42405</v>
      </c>
      <c r="G9">
        <v>7.72</v>
      </c>
      <c r="H9" t="e">
        <v>#N/A</v>
      </c>
      <c r="I9" s="2">
        <v>42405</v>
      </c>
    </row>
    <row r="10" spans="1:9">
      <c r="B10" t="s">
        <v>92</v>
      </c>
      <c r="C10">
        <f>1/1000</f>
        <v>1E-3</v>
      </c>
      <c r="D10" s="23">
        <v>7.83</v>
      </c>
      <c r="E10" s="23" t="e">
        <v>#N/A</v>
      </c>
      <c r="F10" s="2">
        <v>42404</v>
      </c>
      <c r="G10">
        <v>7.82</v>
      </c>
      <c r="H10" t="e">
        <v>#N/A</v>
      </c>
      <c r="I10" s="2">
        <v>42404</v>
      </c>
    </row>
    <row r="11" spans="1:9">
      <c r="B11" t="s">
        <v>67</v>
      </c>
      <c r="C11" s="30">
        <f>(C4-C7)*C8-C9</f>
        <v>38.000000000000057</v>
      </c>
      <c r="D11" s="23">
        <v>7.76</v>
      </c>
      <c r="E11" s="23" t="e">
        <v>#N/A</v>
      </c>
      <c r="F11" s="2">
        <v>42403</v>
      </c>
      <c r="G11">
        <v>7.75</v>
      </c>
      <c r="H11" t="e">
        <v>#N/A</v>
      </c>
      <c r="I11" s="2">
        <v>42403</v>
      </c>
    </row>
    <row r="12" spans="1:9">
      <c r="B12" t="s">
        <v>68</v>
      </c>
      <c r="C12" s="29">
        <f>C11/(C7*C8+C9)</f>
        <v>9.1566265060241112E-2</v>
      </c>
      <c r="D12" s="23">
        <v>7.83</v>
      </c>
      <c r="E12" s="23" t="e">
        <v>#N/A</v>
      </c>
      <c r="F12" s="2">
        <v>42402</v>
      </c>
      <c r="G12">
        <v>7.82</v>
      </c>
      <c r="H12" t="e">
        <v>#N/A</v>
      </c>
      <c r="I12" s="2">
        <v>42402</v>
      </c>
    </row>
    <row r="13" spans="1:9">
      <c r="D13" s="23">
        <v>7.67</v>
      </c>
      <c r="E13" s="23" t="e">
        <v>#N/A</v>
      </c>
      <c r="F13" s="2">
        <v>42401</v>
      </c>
      <c r="G13">
        <v>7.66</v>
      </c>
      <c r="H13" t="e">
        <v>#N/A</v>
      </c>
      <c r="I13" s="2">
        <v>42401</v>
      </c>
    </row>
    <row r="14" spans="1:9">
      <c r="D14" s="23">
        <v>7.25</v>
      </c>
      <c r="E14" s="23" t="e">
        <v>#N/A</v>
      </c>
      <c r="F14" s="2">
        <v>42397</v>
      </c>
      <c r="G14">
        <v>7.96</v>
      </c>
      <c r="H14" t="e">
        <v>#N/A</v>
      </c>
      <c r="I14" s="2">
        <v>42398</v>
      </c>
    </row>
    <row r="15" spans="1:9">
      <c r="B15">
        <v>36.520000000000003</v>
      </c>
      <c r="D15" s="23">
        <v>7.9</v>
      </c>
      <c r="E15" s="23" t="e">
        <v>#N/A</v>
      </c>
      <c r="F15" s="2">
        <v>42396</v>
      </c>
      <c r="G15">
        <v>7.24</v>
      </c>
      <c r="H15" t="e">
        <v>#N/A</v>
      </c>
      <c r="I15" s="2">
        <v>42397</v>
      </c>
    </row>
    <row r="16" spans="1:9">
      <c r="B16" s="29">
        <f>B15/(C7*C8+C9)</f>
        <v>8.8000000000000023E-2</v>
      </c>
      <c r="D16" s="23">
        <v>8.0500000000000007</v>
      </c>
      <c r="E16" s="23" t="e">
        <v>#N/A</v>
      </c>
      <c r="F16" s="2">
        <v>42395</v>
      </c>
      <c r="G16">
        <v>7.89</v>
      </c>
      <c r="H16" t="e">
        <v>#N/A</v>
      </c>
      <c r="I16" s="2">
        <v>42396</v>
      </c>
    </row>
    <row r="17" spans="4:9">
      <c r="D17" s="23">
        <v>8.83</v>
      </c>
      <c r="E17" s="23" t="e">
        <v>#N/A</v>
      </c>
      <c r="F17" s="2">
        <v>42394</v>
      </c>
      <c r="G17">
        <v>8.0399999999999991</v>
      </c>
      <c r="H17" t="e">
        <v>#N/A</v>
      </c>
      <c r="I17" s="2">
        <v>42395</v>
      </c>
    </row>
    <row r="18" spans="4:9">
      <c r="D18" s="23">
        <v>8.89</v>
      </c>
      <c r="E18" s="23" t="e">
        <v>#N/A</v>
      </c>
      <c r="F18" s="2">
        <v>42391</v>
      </c>
      <c r="G18">
        <v>8.82</v>
      </c>
      <c r="H18" t="e">
        <v>#N/A</v>
      </c>
      <c r="I18" s="2">
        <v>42394</v>
      </c>
    </row>
    <row r="19" spans="4:9">
      <c r="D19" s="23">
        <v>8.59</v>
      </c>
      <c r="E19" s="23" t="e">
        <v>#N/A</v>
      </c>
      <c r="F19" s="2">
        <v>42390</v>
      </c>
      <c r="G19">
        <v>8.8800000000000008</v>
      </c>
      <c r="H19" t="e">
        <v>#N/A</v>
      </c>
      <c r="I19" s="2">
        <v>42391</v>
      </c>
    </row>
    <row r="20" spans="4:9">
      <c r="D20" s="23">
        <v>9.14</v>
      </c>
      <c r="E20" s="23" t="e">
        <v>#N/A</v>
      </c>
      <c r="F20" s="2">
        <v>42389</v>
      </c>
      <c r="G20">
        <v>8.58</v>
      </c>
      <c r="H20" t="e">
        <v>#N/A</v>
      </c>
      <c r="I20" s="2">
        <v>42390</v>
      </c>
    </row>
    <row r="21" spans="4:9">
      <c r="D21" s="23">
        <v>8.4700000000000006</v>
      </c>
      <c r="E21" s="23" t="e">
        <v>#N/A</v>
      </c>
      <c r="F21" s="2">
        <v>42387</v>
      </c>
      <c r="G21">
        <v>9.1300000000000008</v>
      </c>
      <c r="H21" t="e">
        <v>#N/A</v>
      </c>
      <c r="I21" s="2">
        <v>42389</v>
      </c>
    </row>
    <row r="22" spans="4:9">
      <c r="D22" s="23">
        <v>8.4</v>
      </c>
      <c r="E22" s="23" t="e">
        <v>#N/A</v>
      </c>
      <c r="F22" s="2">
        <v>42384</v>
      </c>
      <c r="G22">
        <v>9.32</v>
      </c>
      <c r="H22" t="e">
        <v>#N/A</v>
      </c>
      <c r="I22" s="2">
        <v>42388</v>
      </c>
    </row>
    <row r="23" spans="4:9">
      <c r="D23" s="23">
        <v>8.9499999999999993</v>
      </c>
      <c r="E23" s="23" t="e">
        <v>#N/A</v>
      </c>
      <c r="F23" s="2">
        <v>42383</v>
      </c>
      <c r="G23">
        <v>8.4600000000000009</v>
      </c>
      <c r="H23" t="e">
        <v>#N/A</v>
      </c>
      <c r="I23" s="2">
        <v>42387</v>
      </c>
    </row>
    <row r="24" spans="4:9">
      <c r="D24" s="23">
        <v>8.82</v>
      </c>
      <c r="E24" s="23" t="e">
        <v>#N/A</v>
      </c>
      <c r="F24" s="2">
        <v>42382</v>
      </c>
      <c r="G24">
        <v>8.39</v>
      </c>
      <c r="H24" t="e">
        <v>#N/A</v>
      </c>
      <c r="I24" s="2">
        <v>42384</v>
      </c>
    </row>
    <row r="25" spans="4:9">
      <c r="D25" s="23">
        <v>9.24</v>
      </c>
      <c r="E25" s="23" t="e">
        <v>#N/A</v>
      </c>
      <c r="F25" s="2">
        <v>42381</v>
      </c>
      <c r="G25">
        <v>8.94</v>
      </c>
      <c r="H25" t="e">
        <v>#N/A</v>
      </c>
      <c r="I25" s="2">
        <v>42383</v>
      </c>
    </row>
    <row r="26" spans="4:9">
      <c r="D26" s="23">
        <v>9.2100000000000009</v>
      </c>
      <c r="E26" s="23" t="e">
        <v>#N/A</v>
      </c>
      <c r="F26" s="2">
        <v>42380</v>
      </c>
      <c r="G26">
        <v>8.81</v>
      </c>
      <c r="H26" t="e">
        <v>#N/A</v>
      </c>
      <c r="I26" s="2">
        <v>42382</v>
      </c>
    </row>
    <row r="27" spans="4:9">
      <c r="D27" s="23">
        <v>9.3000000000000007</v>
      </c>
      <c r="E27" s="23" t="e">
        <v>#N/A</v>
      </c>
      <c r="F27" s="2">
        <v>42377</v>
      </c>
      <c r="G27">
        <v>9.23</v>
      </c>
      <c r="H27" t="e">
        <v>#N/A</v>
      </c>
      <c r="I27" s="2">
        <v>42381</v>
      </c>
    </row>
    <row r="28" spans="4:9">
      <c r="D28" s="23">
        <v>9.1</v>
      </c>
      <c r="E28" s="23" t="e">
        <v>#N/A</v>
      </c>
      <c r="F28" s="2">
        <v>42376</v>
      </c>
      <c r="G28">
        <v>9.1999999999999993</v>
      </c>
      <c r="H28" t="e">
        <v>#N/A</v>
      </c>
      <c r="I28" s="2">
        <v>42380</v>
      </c>
    </row>
    <row r="29" spans="4:9">
      <c r="D29" s="23">
        <v>9.9700000000000006</v>
      </c>
      <c r="E29" s="23" t="e">
        <v>#N/A</v>
      </c>
      <c r="F29" s="2">
        <v>42375</v>
      </c>
      <c r="G29">
        <v>9.2899999999999991</v>
      </c>
      <c r="H29" t="e">
        <v>#N/A</v>
      </c>
      <c r="I29" s="2">
        <v>42377</v>
      </c>
    </row>
    <row r="30" spans="4:9">
      <c r="D30" s="23">
        <v>9.74</v>
      </c>
      <c r="E30" s="23" t="e">
        <v>#N/A</v>
      </c>
      <c r="F30" s="2">
        <v>42374</v>
      </c>
      <c r="G30">
        <v>9.07</v>
      </c>
      <c r="H30" t="e">
        <v>#N/A</v>
      </c>
      <c r="I30" s="2">
        <v>42376</v>
      </c>
    </row>
    <row r="31" spans="4:9">
      <c r="D31" s="23">
        <v>9.92</v>
      </c>
      <c r="E31" s="23" t="e">
        <v>#N/A</v>
      </c>
      <c r="F31" s="2">
        <v>42373</v>
      </c>
      <c r="G31">
        <v>9.9600000000000009</v>
      </c>
      <c r="H31" t="e">
        <v>#N/A</v>
      </c>
      <c r="I31" s="2">
        <v>42375</v>
      </c>
    </row>
    <row r="32" spans="4:9">
      <c r="D32" s="23">
        <v>10.93</v>
      </c>
      <c r="E32" s="23" t="e">
        <v>#N/A</v>
      </c>
      <c r="F32" s="2">
        <v>42369</v>
      </c>
      <c r="G32">
        <v>9.73</v>
      </c>
      <c r="H32" t="e">
        <v>#N/A</v>
      </c>
      <c r="I32" s="2">
        <v>42374</v>
      </c>
    </row>
    <row r="33" spans="4:9">
      <c r="D33" s="23">
        <v>10.88</v>
      </c>
      <c r="E33" s="23" t="e">
        <v>#N/A</v>
      </c>
      <c r="F33" s="2">
        <v>42368</v>
      </c>
      <c r="G33">
        <v>9.91</v>
      </c>
      <c r="H33" t="e">
        <v>#N/A</v>
      </c>
      <c r="I33" s="2">
        <v>42373</v>
      </c>
    </row>
    <row r="34" spans="4:9">
      <c r="D34" s="23">
        <v>10.86</v>
      </c>
      <c r="E34" s="23" t="e">
        <v>#N/A</v>
      </c>
      <c r="F34" s="2">
        <v>42367</v>
      </c>
      <c r="G34">
        <v>10.92</v>
      </c>
      <c r="H34" t="e">
        <v>#N/A</v>
      </c>
      <c r="I34" s="2">
        <v>42369</v>
      </c>
    </row>
    <row r="35" spans="4:9">
      <c r="D35" s="23">
        <v>10.82</v>
      </c>
      <c r="E35" s="23" t="e">
        <v>#N/A</v>
      </c>
      <c r="F35" s="2">
        <v>42366</v>
      </c>
      <c r="G35">
        <v>10.87</v>
      </c>
      <c r="H35" t="e">
        <v>#N/A</v>
      </c>
      <c r="I35" s="2">
        <v>42368</v>
      </c>
    </row>
    <row r="36" spans="4:9">
      <c r="D36" s="23">
        <v>11.12</v>
      </c>
      <c r="E36" s="23" t="e">
        <v>#N/A</v>
      </c>
      <c r="F36" s="2">
        <v>42363</v>
      </c>
      <c r="G36">
        <v>10.85</v>
      </c>
      <c r="H36" t="e">
        <v>#N/A</v>
      </c>
      <c r="I36" s="2">
        <v>42367</v>
      </c>
    </row>
    <row r="37" spans="4:9">
      <c r="D37" s="23">
        <v>11.07</v>
      </c>
      <c r="E37" s="23" t="e">
        <v>#N/A</v>
      </c>
      <c r="F37" s="2">
        <v>42362</v>
      </c>
      <c r="G37">
        <v>10.81</v>
      </c>
      <c r="H37" t="e">
        <v>#N/A</v>
      </c>
      <c r="I37" s="2">
        <v>42366</v>
      </c>
    </row>
    <row r="38" spans="4:9">
      <c r="D38" s="23">
        <v>11.24</v>
      </c>
      <c r="E38" s="23" t="e">
        <v>#N/A</v>
      </c>
      <c r="F38" s="2">
        <v>42361</v>
      </c>
      <c r="G38">
        <v>11.11</v>
      </c>
      <c r="H38" t="e">
        <v>#N/A</v>
      </c>
      <c r="I38" s="2">
        <v>42363</v>
      </c>
    </row>
    <row r="39" spans="4:9">
      <c r="D39" s="23">
        <v>11.31</v>
      </c>
      <c r="E39" s="23" t="e">
        <v>#N/A</v>
      </c>
      <c r="F39" s="2">
        <v>42360</v>
      </c>
      <c r="G39">
        <v>11.06</v>
      </c>
      <c r="H39" t="e">
        <v>#N/A</v>
      </c>
      <c r="I39" s="2">
        <v>42362</v>
      </c>
    </row>
    <row r="40" spans="4:9">
      <c r="D40" s="23">
        <v>11.46</v>
      </c>
      <c r="E40" s="23" t="e">
        <v>#N/A</v>
      </c>
      <c r="F40" s="2">
        <v>42359</v>
      </c>
      <c r="G40">
        <v>11.23</v>
      </c>
      <c r="H40" t="e">
        <v>#N/A</v>
      </c>
      <c r="I40" s="2">
        <v>42361</v>
      </c>
    </row>
    <row r="41" spans="4:9">
      <c r="D41" s="23">
        <v>11.39</v>
      </c>
      <c r="E41" s="23" t="e">
        <v>#N/A</v>
      </c>
      <c r="F41" s="2">
        <v>42356</v>
      </c>
      <c r="G41">
        <v>11.3</v>
      </c>
      <c r="H41" t="e">
        <v>#N/A</v>
      </c>
      <c r="I41" s="2">
        <v>42360</v>
      </c>
    </row>
    <row r="42" spans="4:9">
      <c r="D42" s="23">
        <v>11.24</v>
      </c>
      <c r="E42" s="23" t="e">
        <v>#N/A</v>
      </c>
      <c r="F42" s="2">
        <v>42355</v>
      </c>
      <c r="G42">
        <v>11.45</v>
      </c>
      <c r="H42" t="e">
        <v>#N/A</v>
      </c>
      <c r="I42" s="2">
        <v>42359</v>
      </c>
    </row>
    <row r="43" spans="4:9">
      <c r="D43" s="23">
        <v>11.07</v>
      </c>
      <c r="E43" s="23" t="e">
        <v>#N/A</v>
      </c>
      <c r="F43" s="2">
        <v>42354</v>
      </c>
      <c r="G43">
        <v>11.38</v>
      </c>
      <c r="H43" t="e">
        <v>#N/A</v>
      </c>
      <c r="I43" s="2">
        <v>42356</v>
      </c>
    </row>
    <row r="44" spans="4:9">
      <c r="F44" s="2"/>
      <c r="G44">
        <v>11.23</v>
      </c>
      <c r="H44" t="e">
        <v>#N/A</v>
      </c>
      <c r="I44" s="2">
        <v>42355</v>
      </c>
    </row>
    <row r="45" spans="4:9">
      <c r="F45" s="2"/>
      <c r="G45">
        <v>11.06</v>
      </c>
      <c r="H45" t="e">
        <v>#N/A</v>
      </c>
      <c r="I45" s="2">
        <v>42354</v>
      </c>
    </row>
    <row r="46" spans="4:9">
      <c r="F46" s="2"/>
      <c r="I46" s="2"/>
    </row>
  </sheetData>
  <dataValidations count="1">
    <dataValidation type="list" allowBlank="1" showInputMessage="1" showErrorMessage="1" sqref="C2">
      <formula1>$A:$A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29"/>
  <sheetViews>
    <sheetView zoomScale="85" zoomScaleNormal="85" workbookViewId="0">
      <pane ySplit="2" topLeftCell="A3" activePane="bottomLeft" state="frozen"/>
      <selection pane="bottomLeft" activeCell="I9" sqref="I9"/>
    </sheetView>
  </sheetViews>
  <sheetFormatPr defaultColWidth="16.85546875" defaultRowHeight="15"/>
  <cols>
    <col min="1" max="1" width="7" style="10" customWidth="1"/>
    <col min="2" max="2" width="12" style="10" customWidth="1"/>
    <col min="3" max="3" width="7.85546875" style="10" bestFit="1" customWidth="1"/>
    <col min="4" max="4" width="9.42578125" style="10" customWidth="1"/>
    <col min="5" max="5" width="9.5703125" style="10" customWidth="1"/>
    <col min="6" max="6" width="11.5703125" style="10" customWidth="1"/>
    <col min="7" max="7" width="5.28515625" style="10" bestFit="1" customWidth="1"/>
    <col min="8" max="8" width="11" style="10" customWidth="1"/>
    <col min="9" max="9" width="12.42578125" style="12" bestFit="1" customWidth="1"/>
    <col min="10" max="10" width="13.5703125" style="10" customWidth="1"/>
    <col min="11" max="11" width="9.5703125" style="10" customWidth="1"/>
    <col min="12" max="12" width="7.85546875" style="10" bestFit="1" customWidth="1"/>
    <col min="13" max="13" width="9.85546875" style="10" customWidth="1"/>
    <col min="14" max="14" width="11.28515625" style="10" customWidth="1"/>
    <col min="15" max="15" width="5.5703125" style="10" bestFit="1" customWidth="1"/>
    <col min="16" max="16" width="16.85546875" style="22"/>
    <col min="17" max="16384" width="16.85546875" style="10"/>
  </cols>
  <sheetData>
    <row r="1" spans="1:17">
      <c r="A1" s="31" t="s">
        <v>30</v>
      </c>
      <c r="B1" s="31" t="s">
        <v>31</v>
      </c>
      <c r="C1" s="31" t="s">
        <v>32</v>
      </c>
      <c r="D1" s="13" t="s">
        <v>33</v>
      </c>
      <c r="E1" s="13" t="s">
        <v>35</v>
      </c>
      <c r="F1" s="13" t="s">
        <v>36</v>
      </c>
      <c r="G1" s="31" t="s">
        <v>37</v>
      </c>
      <c r="H1" s="31" t="s">
        <v>38</v>
      </c>
      <c r="I1" s="31" t="s">
        <v>39</v>
      </c>
      <c r="J1" s="13" t="s">
        <v>40</v>
      </c>
      <c r="K1" s="31" t="s">
        <v>42</v>
      </c>
      <c r="L1" s="31" t="s">
        <v>19</v>
      </c>
      <c r="M1" s="13" t="s">
        <v>19</v>
      </c>
      <c r="N1" s="31" t="s">
        <v>44</v>
      </c>
      <c r="O1" s="31" t="s">
        <v>1</v>
      </c>
    </row>
    <row r="2" spans="1:17">
      <c r="A2" s="31"/>
      <c r="B2" s="31"/>
      <c r="C2" s="31"/>
      <c r="D2" s="13" t="s">
        <v>34</v>
      </c>
      <c r="E2" s="13" t="s">
        <v>34</v>
      </c>
      <c r="F2" s="13" t="s">
        <v>34</v>
      </c>
      <c r="G2" s="31"/>
      <c r="H2" s="31"/>
      <c r="I2" s="31"/>
      <c r="J2" s="13" t="s">
        <v>41</v>
      </c>
      <c r="K2" s="31"/>
      <c r="L2" s="31"/>
      <c r="M2" s="13" t="s">
        <v>43</v>
      </c>
      <c r="N2" s="31"/>
      <c r="O2" s="31"/>
    </row>
    <row r="3" spans="1:17">
      <c r="A3" s="6">
        <v>2787</v>
      </c>
      <c r="B3" s="6" t="s">
        <v>2</v>
      </c>
      <c r="C3" s="7">
        <v>2787</v>
      </c>
      <c r="D3" s="8">
        <v>3520</v>
      </c>
      <c r="E3" s="8">
        <v>1400</v>
      </c>
      <c r="F3" s="8">
        <v>0</v>
      </c>
      <c r="G3" s="8">
        <v>0</v>
      </c>
      <c r="H3" s="8">
        <v>0</v>
      </c>
      <c r="I3" s="11">
        <v>42361</v>
      </c>
      <c r="J3" s="7" t="s">
        <v>0</v>
      </c>
      <c r="K3" s="8">
        <v>0</v>
      </c>
      <c r="L3" s="7" t="s">
        <v>0</v>
      </c>
      <c r="M3" s="9">
        <v>42366</v>
      </c>
      <c r="N3" s="7" t="s">
        <v>0</v>
      </c>
      <c r="O3" s="6" t="s">
        <v>1</v>
      </c>
    </row>
    <row r="4" spans="1:17">
      <c r="A4" s="6">
        <v>2777</v>
      </c>
      <c r="B4" s="6" t="s">
        <v>3</v>
      </c>
      <c r="C4" s="7">
        <v>2777</v>
      </c>
      <c r="D4" s="8">
        <v>2000</v>
      </c>
      <c r="E4" s="8">
        <v>800</v>
      </c>
      <c r="F4" s="8">
        <v>0</v>
      </c>
      <c r="G4" s="8">
        <v>0</v>
      </c>
      <c r="H4" s="8">
        <v>0</v>
      </c>
      <c r="I4" s="11">
        <v>42361</v>
      </c>
      <c r="J4" s="7" t="s">
        <v>0</v>
      </c>
      <c r="K4" s="8">
        <v>0</v>
      </c>
      <c r="L4" s="7" t="s">
        <v>0</v>
      </c>
      <c r="M4" s="9">
        <v>42366</v>
      </c>
      <c r="N4" s="7" t="s">
        <v>0</v>
      </c>
      <c r="O4" s="6" t="s">
        <v>1</v>
      </c>
    </row>
    <row r="5" spans="1:17">
      <c r="A5" s="6">
        <v>300490</v>
      </c>
      <c r="B5" s="6" t="s">
        <v>4</v>
      </c>
      <c r="C5" s="7">
        <v>300490</v>
      </c>
      <c r="D5" s="8">
        <v>2500</v>
      </c>
      <c r="E5" s="8">
        <v>1000</v>
      </c>
      <c r="F5" s="8">
        <v>0</v>
      </c>
      <c r="G5" s="8">
        <v>0</v>
      </c>
      <c r="H5" s="8">
        <v>0</v>
      </c>
      <c r="I5" s="11">
        <v>42361</v>
      </c>
      <c r="J5" s="7" t="s">
        <v>0</v>
      </c>
      <c r="K5" s="8">
        <v>0</v>
      </c>
      <c r="L5" s="7" t="s">
        <v>0</v>
      </c>
      <c r="M5" s="9">
        <v>42366</v>
      </c>
      <c r="N5" s="7" t="s">
        <v>0</v>
      </c>
      <c r="O5" s="6" t="s">
        <v>1</v>
      </c>
    </row>
    <row r="6" spans="1:17">
      <c r="A6" s="6">
        <v>300491</v>
      </c>
      <c r="B6" s="6" t="s">
        <v>5</v>
      </c>
      <c r="C6" s="7">
        <v>300491</v>
      </c>
      <c r="D6" s="8">
        <v>2000</v>
      </c>
      <c r="E6" s="8">
        <v>800</v>
      </c>
      <c r="F6" s="8">
        <v>0</v>
      </c>
      <c r="G6" s="8">
        <v>0</v>
      </c>
      <c r="H6" s="8">
        <v>0</v>
      </c>
      <c r="I6" s="11">
        <v>42361</v>
      </c>
      <c r="J6" s="7" t="s">
        <v>0</v>
      </c>
      <c r="K6" s="8">
        <v>0</v>
      </c>
      <c r="L6" s="7" t="s">
        <v>0</v>
      </c>
      <c r="M6" s="9">
        <v>42366</v>
      </c>
      <c r="N6" s="7" t="s">
        <v>0</v>
      </c>
      <c r="O6" s="6" t="s">
        <v>1</v>
      </c>
    </row>
    <row r="7" spans="1:17">
      <c r="A7" s="6">
        <v>300494</v>
      </c>
      <c r="B7" s="6" t="s">
        <v>6</v>
      </c>
      <c r="C7" s="7">
        <v>300494</v>
      </c>
      <c r="D7" s="8">
        <v>3000</v>
      </c>
      <c r="E7" s="8">
        <v>1200</v>
      </c>
      <c r="F7" s="8">
        <v>0</v>
      </c>
      <c r="G7" s="8">
        <v>0</v>
      </c>
      <c r="H7" s="8">
        <v>0</v>
      </c>
      <c r="I7" s="11">
        <v>42361</v>
      </c>
      <c r="J7" s="7" t="s">
        <v>0</v>
      </c>
      <c r="K7" s="8">
        <v>0</v>
      </c>
      <c r="L7" s="7" t="s">
        <v>0</v>
      </c>
      <c r="M7" s="9">
        <v>42366</v>
      </c>
      <c r="N7" s="7" t="s">
        <v>0</v>
      </c>
      <c r="O7" s="6" t="s">
        <v>1</v>
      </c>
    </row>
    <row r="8" spans="1:17">
      <c r="A8" s="6">
        <v>603299</v>
      </c>
      <c r="B8" s="6" t="s">
        <v>7</v>
      </c>
      <c r="C8" s="7">
        <v>732299</v>
      </c>
      <c r="D8" s="8">
        <v>9000</v>
      </c>
      <c r="E8" s="8">
        <v>2700</v>
      </c>
      <c r="F8" s="8">
        <v>0</v>
      </c>
      <c r="G8" s="8">
        <v>0</v>
      </c>
      <c r="H8" s="8">
        <v>0</v>
      </c>
      <c r="I8" s="11">
        <v>42361</v>
      </c>
      <c r="J8" s="7" t="s">
        <v>0</v>
      </c>
      <c r="K8" s="8">
        <v>0</v>
      </c>
      <c r="L8" s="7" t="s">
        <v>0</v>
      </c>
      <c r="M8" s="9">
        <v>42366</v>
      </c>
      <c r="N8" s="7" t="s">
        <v>0</v>
      </c>
      <c r="O8" s="6" t="s">
        <v>1</v>
      </c>
    </row>
    <row r="9" spans="1:17">
      <c r="A9" s="6">
        <v>603778</v>
      </c>
      <c r="B9" s="6" t="s">
        <v>8</v>
      </c>
      <c r="C9" s="7">
        <v>732778</v>
      </c>
      <c r="D9" s="8">
        <v>2000</v>
      </c>
      <c r="E9" s="8">
        <v>800</v>
      </c>
      <c r="F9" s="8">
        <v>0.8</v>
      </c>
      <c r="G9" s="8">
        <v>0</v>
      </c>
      <c r="H9" s="8">
        <v>0</v>
      </c>
      <c r="I9" s="11">
        <v>42361</v>
      </c>
      <c r="J9" s="7" t="s">
        <v>0</v>
      </c>
      <c r="K9" s="8">
        <v>0</v>
      </c>
      <c r="L9" s="7" t="s">
        <v>0</v>
      </c>
      <c r="M9" s="9">
        <v>42366</v>
      </c>
      <c r="N9" s="7" t="s">
        <v>0</v>
      </c>
      <c r="O9" s="6" t="s">
        <v>1</v>
      </c>
    </row>
    <row r="10" spans="1:17">
      <c r="A10" s="6">
        <v>603866</v>
      </c>
      <c r="B10" s="6" t="s">
        <v>9</v>
      </c>
      <c r="C10" s="7">
        <v>732866</v>
      </c>
      <c r="D10" s="8">
        <v>4501.26</v>
      </c>
      <c r="E10" s="8">
        <v>4051.2</v>
      </c>
      <c r="F10" s="8">
        <v>1.3</v>
      </c>
      <c r="G10" s="8">
        <v>13.76</v>
      </c>
      <c r="H10" s="8">
        <v>22.98</v>
      </c>
      <c r="I10" s="11">
        <v>42352</v>
      </c>
      <c r="J10" s="8">
        <v>2229</v>
      </c>
      <c r="K10" s="8">
        <v>0.40799999999999997</v>
      </c>
      <c r="L10" s="7" t="s">
        <v>0</v>
      </c>
      <c r="M10" s="9">
        <v>42355</v>
      </c>
      <c r="N10" s="7" t="s">
        <v>0</v>
      </c>
      <c r="O10" s="6" t="s">
        <v>1</v>
      </c>
      <c r="P10" s="22">
        <f>G10*D10/K10*100*10000/100000000</f>
        <v>1518.0720000000003</v>
      </c>
      <c r="Q10" s="22">
        <f>J10-P10</f>
        <v>710.92799999999966</v>
      </c>
    </row>
    <row r="11" spans="1:17">
      <c r="A11" s="6">
        <v>603996</v>
      </c>
      <c r="B11" s="6" t="s">
        <v>10</v>
      </c>
      <c r="C11" s="7">
        <v>732996</v>
      </c>
      <c r="D11" s="8">
        <v>5010</v>
      </c>
      <c r="E11" s="8">
        <v>4509</v>
      </c>
      <c r="F11" s="8">
        <v>2</v>
      </c>
      <c r="G11" s="8">
        <v>10.52</v>
      </c>
      <c r="H11" s="8">
        <v>22.96</v>
      </c>
      <c r="I11" s="11">
        <v>42352</v>
      </c>
      <c r="J11" s="8">
        <v>3038</v>
      </c>
      <c r="K11" s="8">
        <v>0.23899999999999999</v>
      </c>
      <c r="L11" s="7" t="s">
        <v>0</v>
      </c>
      <c r="M11" s="9">
        <v>42355</v>
      </c>
      <c r="N11" s="7" t="s">
        <v>0</v>
      </c>
      <c r="O11" s="6" t="s">
        <v>1</v>
      </c>
      <c r="P11" s="22">
        <f t="shared" ref="P11:P18" si="0">G11*D11/K11*100*10000/100000000</f>
        <v>2205.2384937238494</v>
      </c>
      <c r="Q11" s="22">
        <f t="shared" ref="Q11:Q18" si="1">J11-P11</f>
        <v>832.76150627615061</v>
      </c>
    </row>
    <row r="12" spans="1:17">
      <c r="A12" s="6">
        <v>603508</v>
      </c>
      <c r="B12" s="6" t="s">
        <v>11</v>
      </c>
      <c r="C12" s="7">
        <v>732508</v>
      </c>
      <c r="D12" s="8">
        <v>4000</v>
      </c>
      <c r="E12" s="8">
        <v>3600</v>
      </c>
      <c r="F12" s="8">
        <v>1.2</v>
      </c>
      <c r="G12" s="8">
        <v>33.56</v>
      </c>
      <c r="H12" s="8">
        <v>22.99</v>
      </c>
      <c r="I12" s="11">
        <v>42352</v>
      </c>
      <c r="J12" s="8">
        <v>6133</v>
      </c>
      <c r="K12" s="8">
        <v>0.4</v>
      </c>
      <c r="L12" s="7" t="s">
        <v>0</v>
      </c>
      <c r="M12" s="9">
        <v>42355</v>
      </c>
      <c r="N12" s="7" t="s">
        <v>0</v>
      </c>
      <c r="O12" s="6" t="s">
        <v>1</v>
      </c>
      <c r="P12" s="22">
        <f t="shared" si="0"/>
        <v>3356</v>
      </c>
      <c r="Q12" s="22">
        <f t="shared" si="1"/>
        <v>2777</v>
      </c>
    </row>
    <row r="13" spans="1:17">
      <c r="A13" s="6">
        <v>300495</v>
      </c>
      <c r="B13" s="6" t="s">
        <v>12</v>
      </c>
      <c r="C13" s="7">
        <v>300495</v>
      </c>
      <c r="D13" s="8">
        <v>1670</v>
      </c>
      <c r="E13" s="8">
        <v>1503</v>
      </c>
      <c r="F13" s="8">
        <v>0.65</v>
      </c>
      <c r="G13" s="8">
        <v>31.82</v>
      </c>
      <c r="H13" s="8">
        <v>20.27</v>
      </c>
      <c r="I13" s="11">
        <v>42352</v>
      </c>
      <c r="J13" s="8">
        <v>2484</v>
      </c>
      <c r="K13" s="8">
        <v>0.29099999999999998</v>
      </c>
      <c r="L13" s="7" t="s">
        <v>0</v>
      </c>
      <c r="M13" s="9">
        <v>42355</v>
      </c>
      <c r="N13" s="7" t="s">
        <v>0</v>
      </c>
      <c r="O13" s="6" t="s">
        <v>1</v>
      </c>
      <c r="P13" s="22">
        <f t="shared" si="0"/>
        <v>1826.0962199312717</v>
      </c>
      <c r="Q13" s="22">
        <f t="shared" si="1"/>
        <v>657.90378006872834</v>
      </c>
    </row>
    <row r="14" spans="1:17">
      <c r="A14" s="6">
        <v>300492</v>
      </c>
      <c r="B14" s="6" t="s">
        <v>13</v>
      </c>
      <c r="C14" s="7">
        <v>300492</v>
      </c>
      <c r="D14" s="8">
        <v>2080</v>
      </c>
      <c r="E14" s="8">
        <v>1872</v>
      </c>
      <c r="F14" s="8">
        <v>0.8</v>
      </c>
      <c r="G14" s="8">
        <v>6.9</v>
      </c>
      <c r="H14" s="8">
        <v>22.96</v>
      </c>
      <c r="I14" s="11">
        <v>42352</v>
      </c>
      <c r="J14" s="8">
        <v>1006</v>
      </c>
      <c r="K14" s="8">
        <v>0.188</v>
      </c>
      <c r="L14" s="7" t="s">
        <v>0</v>
      </c>
      <c r="M14" s="9">
        <v>42355</v>
      </c>
      <c r="N14" s="7" t="s">
        <v>0</v>
      </c>
      <c r="O14" s="6" t="s">
        <v>1</v>
      </c>
      <c r="P14" s="22">
        <f t="shared" si="0"/>
        <v>763.404255319149</v>
      </c>
      <c r="Q14" s="22">
        <f t="shared" si="1"/>
        <v>242.595744680851</v>
      </c>
    </row>
    <row r="15" spans="1:17">
      <c r="A15" s="6">
        <v>2785</v>
      </c>
      <c r="B15" s="6" t="s">
        <v>14</v>
      </c>
      <c r="C15" s="7">
        <v>2785</v>
      </c>
      <c r="D15" s="8">
        <v>5000</v>
      </c>
      <c r="E15" s="8">
        <v>4500</v>
      </c>
      <c r="F15" s="8">
        <v>2</v>
      </c>
      <c r="G15" s="8">
        <v>2.29</v>
      </c>
      <c r="H15" s="8">
        <v>22.9</v>
      </c>
      <c r="I15" s="11">
        <v>42352</v>
      </c>
      <c r="J15" s="8">
        <v>864</v>
      </c>
      <c r="K15" s="8">
        <v>0.17799999999999999</v>
      </c>
      <c r="L15" s="7" t="s">
        <v>0</v>
      </c>
      <c r="M15" s="9">
        <v>42355</v>
      </c>
      <c r="N15" s="7" t="s">
        <v>0</v>
      </c>
      <c r="O15" s="6" t="s">
        <v>1</v>
      </c>
      <c r="P15" s="22">
        <f t="shared" si="0"/>
        <v>643.25842696629206</v>
      </c>
      <c r="Q15" s="22">
        <f t="shared" si="1"/>
        <v>220.74157303370794</v>
      </c>
    </row>
    <row r="16" spans="1:17">
      <c r="A16" s="6">
        <v>2786</v>
      </c>
      <c r="B16" s="6" t="s">
        <v>15</v>
      </c>
      <c r="C16" s="7">
        <v>2786</v>
      </c>
      <c r="D16" s="8">
        <v>3178</v>
      </c>
      <c r="E16" s="8">
        <v>2860.2</v>
      </c>
      <c r="F16" s="8">
        <v>1.25</v>
      </c>
      <c r="G16" s="8">
        <v>10.72</v>
      </c>
      <c r="H16" s="8">
        <v>22.81</v>
      </c>
      <c r="I16" s="11">
        <v>42352</v>
      </c>
      <c r="J16" s="8">
        <v>1996</v>
      </c>
      <c r="K16" s="8">
        <v>0.23699999999999999</v>
      </c>
      <c r="L16" s="7" t="s">
        <v>0</v>
      </c>
      <c r="M16" s="9">
        <v>42355</v>
      </c>
      <c r="N16" s="7" t="s">
        <v>0</v>
      </c>
      <c r="O16" s="6" t="s">
        <v>1</v>
      </c>
      <c r="P16" s="22">
        <f t="shared" si="0"/>
        <v>1437.4751054852322</v>
      </c>
      <c r="Q16" s="22">
        <f t="shared" si="1"/>
        <v>558.52489451476777</v>
      </c>
    </row>
    <row r="17" spans="1:17">
      <c r="A17" s="6">
        <v>2781</v>
      </c>
      <c r="B17" s="6" t="s">
        <v>16</v>
      </c>
      <c r="C17" s="7">
        <v>2781</v>
      </c>
      <c r="D17" s="8">
        <v>5625</v>
      </c>
      <c r="E17" s="8">
        <v>4050</v>
      </c>
      <c r="F17" s="8">
        <v>2.25</v>
      </c>
      <c r="G17" s="8">
        <v>13.31</v>
      </c>
      <c r="H17" s="8">
        <v>20.350000000000001</v>
      </c>
      <c r="I17" s="11">
        <v>42352</v>
      </c>
      <c r="J17" s="8">
        <v>3232</v>
      </c>
      <c r="K17" s="8">
        <v>0.26800000000000002</v>
      </c>
      <c r="L17" s="7" t="s">
        <v>0</v>
      </c>
      <c r="M17" s="9">
        <v>42355</v>
      </c>
      <c r="N17" s="7" t="s">
        <v>0</v>
      </c>
      <c r="O17" s="6" t="s">
        <v>1</v>
      </c>
      <c r="P17" s="22">
        <f t="shared" si="0"/>
        <v>2793.6100746268658</v>
      </c>
      <c r="Q17" s="22">
        <f t="shared" si="1"/>
        <v>438.38992537313425</v>
      </c>
    </row>
    <row r="18" spans="1:17">
      <c r="A18" s="6">
        <v>2782</v>
      </c>
      <c r="B18" s="6" t="s">
        <v>17</v>
      </c>
      <c r="C18" s="7">
        <v>2782</v>
      </c>
      <c r="D18" s="8">
        <v>4260</v>
      </c>
      <c r="E18" s="8">
        <v>3834</v>
      </c>
      <c r="F18" s="8">
        <v>1.7</v>
      </c>
      <c r="G18" s="8">
        <v>7.58</v>
      </c>
      <c r="H18" s="8">
        <v>22.97</v>
      </c>
      <c r="I18" s="11">
        <v>42352</v>
      </c>
      <c r="J18" s="8">
        <v>1944</v>
      </c>
      <c r="K18" s="8">
        <v>0.223</v>
      </c>
      <c r="L18" s="7" t="s">
        <v>0</v>
      </c>
      <c r="M18" s="9">
        <v>42355</v>
      </c>
      <c r="N18" s="7" t="s">
        <v>0</v>
      </c>
      <c r="O18" s="6" t="s">
        <v>1</v>
      </c>
      <c r="P18" s="22">
        <f t="shared" si="0"/>
        <v>1448.0179372197308</v>
      </c>
      <c r="Q18" s="22">
        <f t="shared" si="1"/>
        <v>495.98206278026919</v>
      </c>
    </row>
    <row r="19" spans="1:17">
      <c r="A19" s="6">
        <v>300497</v>
      </c>
      <c r="B19" s="6" t="s">
        <v>18</v>
      </c>
      <c r="C19" s="7">
        <v>300497</v>
      </c>
      <c r="D19" s="8">
        <v>1800</v>
      </c>
      <c r="E19" s="8">
        <v>1620</v>
      </c>
      <c r="F19" s="8">
        <v>0.7</v>
      </c>
      <c r="G19" s="8">
        <v>15.33</v>
      </c>
      <c r="H19" s="8">
        <v>21.79</v>
      </c>
      <c r="I19" s="11">
        <v>42349</v>
      </c>
      <c r="J19" s="8">
        <v>2067</v>
      </c>
      <c r="K19" s="8">
        <v>0.16300000000000001</v>
      </c>
      <c r="L19" s="6" t="s">
        <v>19</v>
      </c>
      <c r="M19" s="9">
        <v>42354</v>
      </c>
      <c r="N19" s="7" t="s">
        <v>0</v>
      </c>
      <c r="O19" s="6" t="s">
        <v>1</v>
      </c>
      <c r="P19" s="22">
        <f t="shared" ref="P19:P29" si="2">G19*D19/K19*100*10000/100000000</f>
        <v>1692.8834355828224</v>
      </c>
      <c r="Q19" s="22">
        <f t="shared" ref="Q19:Q29" si="3">J19-P19</f>
        <v>374.11656441717764</v>
      </c>
    </row>
    <row r="20" spans="1:17">
      <c r="A20" s="6">
        <v>300496</v>
      </c>
      <c r="B20" s="6" t="s">
        <v>20</v>
      </c>
      <c r="C20" s="7">
        <v>300496</v>
      </c>
      <c r="D20" s="8">
        <v>2500</v>
      </c>
      <c r="E20" s="8">
        <v>2250</v>
      </c>
      <c r="F20" s="8">
        <v>1</v>
      </c>
      <c r="G20" s="8">
        <v>23.27</v>
      </c>
      <c r="H20" s="8">
        <v>22.99</v>
      </c>
      <c r="I20" s="11">
        <v>42340</v>
      </c>
      <c r="J20" s="8">
        <v>3730</v>
      </c>
      <c r="K20" s="8">
        <v>0.23699999999999999</v>
      </c>
      <c r="L20" s="6" t="s">
        <v>19</v>
      </c>
      <c r="M20" s="9">
        <v>42345</v>
      </c>
      <c r="N20" s="9">
        <v>42348</v>
      </c>
      <c r="O20" s="6" t="s">
        <v>1</v>
      </c>
      <c r="P20" s="22">
        <f t="shared" si="2"/>
        <v>2454.6413502109708</v>
      </c>
      <c r="Q20" s="22">
        <f t="shared" si="3"/>
        <v>1275.3586497890292</v>
      </c>
    </row>
    <row r="21" spans="1:17">
      <c r="A21" s="6">
        <v>300493</v>
      </c>
      <c r="B21" s="6" t="s">
        <v>21</v>
      </c>
      <c r="C21" s="7">
        <v>300493</v>
      </c>
      <c r="D21" s="8">
        <v>3000</v>
      </c>
      <c r="E21" s="8">
        <v>2700</v>
      </c>
      <c r="F21" s="8">
        <v>1.2</v>
      </c>
      <c r="G21" s="8">
        <v>6.87</v>
      </c>
      <c r="H21" s="8">
        <v>22.97</v>
      </c>
      <c r="I21" s="11">
        <v>42339</v>
      </c>
      <c r="J21" s="8">
        <v>1833</v>
      </c>
      <c r="K21" s="8">
        <v>0.14699999999999999</v>
      </c>
      <c r="L21" s="6" t="s">
        <v>19</v>
      </c>
      <c r="M21" s="9">
        <v>42342</v>
      </c>
      <c r="N21" s="9">
        <v>42348</v>
      </c>
      <c r="O21" s="6" t="s">
        <v>1</v>
      </c>
      <c r="P21" s="22">
        <f t="shared" si="2"/>
        <v>1402.0408163265308</v>
      </c>
      <c r="Q21" s="22">
        <f t="shared" si="3"/>
        <v>430.95918367346917</v>
      </c>
    </row>
    <row r="22" spans="1:17">
      <c r="A22" s="6">
        <v>2779</v>
      </c>
      <c r="B22" s="6" t="s">
        <v>22</v>
      </c>
      <c r="C22" s="7">
        <v>2779</v>
      </c>
      <c r="D22" s="8">
        <v>2200</v>
      </c>
      <c r="E22" s="8">
        <v>1980</v>
      </c>
      <c r="F22" s="8">
        <v>0.85</v>
      </c>
      <c r="G22" s="8">
        <v>12.11</v>
      </c>
      <c r="H22" s="8">
        <v>18.97</v>
      </c>
      <c r="I22" s="11">
        <v>42339</v>
      </c>
      <c r="J22" s="8">
        <v>2133</v>
      </c>
      <c r="K22" s="8">
        <v>0.16200000000000001</v>
      </c>
      <c r="L22" s="6" t="s">
        <v>19</v>
      </c>
      <c r="M22" s="9">
        <v>42342</v>
      </c>
      <c r="N22" s="9">
        <v>42347</v>
      </c>
      <c r="O22" s="6" t="s">
        <v>1</v>
      </c>
      <c r="P22" s="22">
        <f t="shared" si="2"/>
        <v>1644.5679012345679</v>
      </c>
      <c r="Q22" s="22">
        <f t="shared" si="3"/>
        <v>488.4320987654321</v>
      </c>
    </row>
    <row r="23" spans="1:17">
      <c r="A23" s="6">
        <v>2780</v>
      </c>
      <c r="B23" s="6" t="s">
        <v>23</v>
      </c>
      <c r="C23" s="7">
        <v>2780</v>
      </c>
      <c r="D23" s="8">
        <v>1700</v>
      </c>
      <c r="E23" s="8">
        <v>1530</v>
      </c>
      <c r="F23" s="8">
        <v>0.65</v>
      </c>
      <c r="G23" s="8">
        <v>9.42</v>
      </c>
      <c r="H23" s="8">
        <v>22.95</v>
      </c>
      <c r="I23" s="11">
        <v>42339</v>
      </c>
      <c r="J23" s="8">
        <v>1463</v>
      </c>
      <c r="K23" s="8">
        <v>0.14799999999999999</v>
      </c>
      <c r="L23" s="6" t="s">
        <v>19</v>
      </c>
      <c r="M23" s="9">
        <v>42342</v>
      </c>
      <c r="N23" s="9">
        <v>42347</v>
      </c>
      <c r="O23" s="6" t="s">
        <v>1</v>
      </c>
      <c r="P23" s="22">
        <f t="shared" si="2"/>
        <v>1082.0270270270271</v>
      </c>
      <c r="Q23" s="22">
        <f t="shared" si="3"/>
        <v>380.97297297297291</v>
      </c>
    </row>
    <row r="24" spans="1:17">
      <c r="A24" s="6">
        <v>603398</v>
      </c>
      <c r="B24" s="6" t="s">
        <v>24</v>
      </c>
      <c r="C24" s="7">
        <v>732398</v>
      </c>
      <c r="D24" s="8">
        <v>2400</v>
      </c>
      <c r="E24" s="8">
        <v>2160</v>
      </c>
      <c r="F24" s="8">
        <v>0.9</v>
      </c>
      <c r="G24" s="8">
        <v>13.97</v>
      </c>
      <c r="H24" s="8">
        <v>22.99</v>
      </c>
      <c r="I24" s="11">
        <v>42339</v>
      </c>
      <c r="J24" s="8">
        <v>2144</v>
      </c>
      <c r="K24" s="8">
        <v>0.23200000000000001</v>
      </c>
      <c r="L24" s="6" t="s">
        <v>19</v>
      </c>
      <c r="M24" s="9">
        <v>42342</v>
      </c>
      <c r="N24" s="9">
        <v>42347</v>
      </c>
      <c r="O24" s="6" t="s">
        <v>1</v>
      </c>
      <c r="P24" s="22">
        <f t="shared" si="2"/>
        <v>1445.1724137931033</v>
      </c>
      <c r="Q24" s="22">
        <f t="shared" si="3"/>
        <v>698.82758620689674</v>
      </c>
    </row>
    <row r="25" spans="1:17">
      <c r="A25" s="6">
        <v>603696</v>
      </c>
      <c r="B25" s="6" t="s">
        <v>25</v>
      </c>
      <c r="C25" s="7">
        <v>732696</v>
      </c>
      <c r="D25" s="8">
        <v>3000</v>
      </c>
      <c r="E25" s="8">
        <v>2700</v>
      </c>
      <c r="F25" s="8">
        <v>1.2</v>
      </c>
      <c r="G25" s="8">
        <v>10.1</v>
      </c>
      <c r="H25" s="8">
        <v>22.95</v>
      </c>
      <c r="I25" s="11">
        <v>42339</v>
      </c>
      <c r="J25" s="8">
        <v>1597</v>
      </c>
      <c r="K25" s="8">
        <v>0.27600000000000002</v>
      </c>
      <c r="L25" s="6" t="s">
        <v>19</v>
      </c>
      <c r="M25" s="9">
        <v>42342</v>
      </c>
      <c r="N25" s="9">
        <v>42347</v>
      </c>
      <c r="O25" s="6" t="s">
        <v>1</v>
      </c>
      <c r="P25" s="22">
        <f t="shared" si="2"/>
        <v>1097.8260869565215</v>
      </c>
      <c r="Q25" s="22">
        <f t="shared" si="3"/>
        <v>499.17391304347848</v>
      </c>
    </row>
    <row r="26" spans="1:17">
      <c r="A26" s="6">
        <v>603999</v>
      </c>
      <c r="B26" s="6" t="s">
        <v>26</v>
      </c>
      <c r="C26" s="7">
        <v>732999</v>
      </c>
      <c r="D26" s="8">
        <v>6000</v>
      </c>
      <c r="E26" s="8">
        <v>5400</v>
      </c>
      <c r="F26" s="8">
        <v>2.4</v>
      </c>
      <c r="G26" s="8">
        <v>9.77</v>
      </c>
      <c r="H26" s="8">
        <v>19.850000000000001</v>
      </c>
      <c r="I26" s="11">
        <v>42339</v>
      </c>
      <c r="J26" s="8">
        <v>3336</v>
      </c>
      <c r="K26" s="8">
        <v>0.255</v>
      </c>
      <c r="L26" s="6" t="s">
        <v>19</v>
      </c>
      <c r="M26" s="9">
        <v>42342</v>
      </c>
      <c r="N26" s="9">
        <v>42348</v>
      </c>
      <c r="O26" s="6" t="s">
        <v>1</v>
      </c>
      <c r="P26" s="22">
        <f t="shared" si="2"/>
        <v>2298.8235294117649</v>
      </c>
      <c r="Q26" s="22">
        <f t="shared" si="3"/>
        <v>1037.1764705882351</v>
      </c>
    </row>
    <row r="27" spans="1:17">
      <c r="A27" s="6">
        <v>603936</v>
      </c>
      <c r="B27" s="6" t="s">
        <v>27</v>
      </c>
      <c r="C27" s="7">
        <v>732936</v>
      </c>
      <c r="D27" s="8">
        <v>4185</v>
      </c>
      <c r="E27" s="8">
        <v>3766.5</v>
      </c>
      <c r="F27" s="8">
        <v>1.6</v>
      </c>
      <c r="G27" s="8">
        <v>8.06</v>
      </c>
      <c r="H27" s="8">
        <v>22.98</v>
      </c>
      <c r="I27" s="11">
        <v>42339</v>
      </c>
      <c r="J27" s="8">
        <v>2078</v>
      </c>
      <c r="K27" s="8">
        <v>0.23400000000000001</v>
      </c>
      <c r="L27" s="6" t="s">
        <v>19</v>
      </c>
      <c r="M27" s="9">
        <v>42342</v>
      </c>
      <c r="N27" s="9">
        <v>42347</v>
      </c>
      <c r="O27" s="6" t="s">
        <v>1</v>
      </c>
      <c r="P27" s="22">
        <f t="shared" si="2"/>
        <v>1441.4999999999998</v>
      </c>
      <c r="Q27" s="22">
        <f t="shared" si="3"/>
        <v>636.50000000000023</v>
      </c>
    </row>
    <row r="28" spans="1:17">
      <c r="A28" s="6">
        <v>603800</v>
      </c>
      <c r="B28" s="6" t="s">
        <v>28</v>
      </c>
      <c r="C28" s="7">
        <v>732800</v>
      </c>
      <c r="D28" s="8">
        <v>5200</v>
      </c>
      <c r="E28" s="8">
        <v>4680</v>
      </c>
      <c r="F28" s="8">
        <v>2</v>
      </c>
      <c r="G28" s="8">
        <v>10.95</v>
      </c>
      <c r="H28" s="8">
        <v>21.15</v>
      </c>
      <c r="I28" s="11">
        <v>42339</v>
      </c>
      <c r="J28" s="8">
        <v>2625</v>
      </c>
      <c r="K28" s="8">
        <v>0.316</v>
      </c>
      <c r="L28" s="6" t="s">
        <v>19</v>
      </c>
      <c r="M28" s="9">
        <v>42342</v>
      </c>
      <c r="N28" s="9">
        <v>42348</v>
      </c>
      <c r="O28" s="6" t="s">
        <v>1</v>
      </c>
      <c r="P28" s="22">
        <f t="shared" si="2"/>
        <v>1801.8987341772149</v>
      </c>
      <c r="Q28" s="22">
        <f t="shared" si="3"/>
        <v>823.10126582278508</v>
      </c>
    </row>
    <row r="29" spans="1:17">
      <c r="A29" s="6">
        <v>2783</v>
      </c>
      <c r="B29" s="6" t="s">
        <v>29</v>
      </c>
      <c r="C29" s="7">
        <v>2783</v>
      </c>
      <c r="D29" s="8">
        <v>2087</v>
      </c>
      <c r="E29" s="8">
        <v>1878.3</v>
      </c>
      <c r="F29" s="8">
        <v>0.8</v>
      </c>
      <c r="G29" s="8">
        <v>28.68</v>
      </c>
      <c r="H29" s="8">
        <v>22.98</v>
      </c>
      <c r="I29" s="11">
        <v>42338</v>
      </c>
      <c r="J29" s="8">
        <v>3691</v>
      </c>
      <c r="K29" s="8">
        <v>0.218</v>
      </c>
      <c r="L29" s="6" t="s">
        <v>19</v>
      </c>
      <c r="M29" s="9">
        <v>42341</v>
      </c>
      <c r="N29" s="9">
        <v>42347</v>
      </c>
      <c r="O29" s="6" t="s">
        <v>1</v>
      </c>
      <c r="P29" s="22">
        <f t="shared" si="2"/>
        <v>2745.6495412844038</v>
      </c>
      <c r="Q29" s="22">
        <f t="shared" si="3"/>
        <v>945.35045871559623</v>
      </c>
    </row>
  </sheetData>
  <mergeCells count="10">
    <mergeCell ref="A1:A2"/>
    <mergeCell ref="B1:B2"/>
    <mergeCell ref="C1:C2"/>
    <mergeCell ref="G1:G2"/>
    <mergeCell ref="O1:O2"/>
    <mergeCell ref="L1:L2"/>
    <mergeCell ref="N1:N2"/>
    <mergeCell ref="H1:H2"/>
    <mergeCell ref="I1:I2"/>
    <mergeCell ref="K1:K2"/>
  </mergeCells>
  <hyperlinks>
    <hyperlink ref="A3" r:id="rId1" display="http://stockdata.stock.hexun.com/002787.shtml"/>
    <hyperlink ref="B3" r:id="rId2" display="http://stockdata.stock.hexun.com/002787.shtml"/>
    <hyperlink ref="O3" r:id="rId3" display="http://datainfo.hexun.com/urwh/newstock/xgzl/stockcode/002787.shtml"/>
    <hyperlink ref="A4" r:id="rId4" display="http://stockdata.stock.hexun.com/002777.shtml"/>
    <hyperlink ref="B4" r:id="rId5" display="http://stockdata.stock.hexun.com/002777.shtml"/>
    <hyperlink ref="O4" r:id="rId6" display="http://datainfo.hexun.com/urwh/newstock/xgzl/stockcode/002777.shtml"/>
    <hyperlink ref="A5" r:id="rId7" display="http://stockdata.stock.hexun.com/300490.shtml"/>
    <hyperlink ref="B5" r:id="rId8" display="http://stockdata.stock.hexun.com/300490.shtml"/>
    <hyperlink ref="O5" r:id="rId9" display="http://datainfo.hexun.com/urwh/newstock/xgzl/stockcode/300490.shtml"/>
    <hyperlink ref="A6" r:id="rId10" display="http://stockdata.stock.hexun.com/300491.shtml"/>
    <hyperlink ref="B6" r:id="rId11" display="http://stockdata.stock.hexun.com/300491.shtml"/>
    <hyperlink ref="O6" r:id="rId12" display="http://datainfo.hexun.com/urwh/newstock/xgzl/stockcode/300491.shtml"/>
    <hyperlink ref="A7" r:id="rId13" display="http://stockdata.stock.hexun.com/300494.shtml"/>
    <hyperlink ref="B7" r:id="rId14" display="http://stockdata.stock.hexun.com/300494.shtml"/>
    <hyperlink ref="O7" r:id="rId15" display="http://datainfo.hexun.com/urwh/newstock/xgzl/stockcode/300494.shtml"/>
    <hyperlink ref="A8" r:id="rId16" display="http://stockdata.stock.hexun.com/603299.shtml"/>
    <hyperlink ref="B8" r:id="rId17" display="http://stockdata.stock.hexun.com/603299.shtml"/>
    <hyperlink ref="O8" r:id="rId18" display="http://datainfo.hexun.com/urwh/newstock/xgzl/stockcode/603299.shtml"/>
    <hyperlink ref="A9" r:id="rId19" display="http://stockdata.stock.hexun.com/603778.shtml"/>
    <hyperlink ref="B9" r:id="rId20" display="http://stockdata.stock.hexun.com/603778.shtml"/>
    <hyperlink ref="O9" r:id="rId21" display="http://datainfo.hexun.com/urwh/newstock/xgzl/stockcode/603778.shtml"/>
    <hyperlink ref="A10" r:id="rId22" display="http://stockdata.stock.hexun.com/603866.shtml"/>
    <hyperlink ref="B10" r:id="rId23" display="http://stockdata.stock.hexun.com/603866.shtml"/>
    <hyperlink ref="O10" r:id="rId24" display="http://datainfo.hexun.com/urwh/newstock/xgzl/stockcode/603866.shtml"/>
    <hyperlink ref="A11" r:id="rId25" display="http://stockdata.stock.hexun.com/603996.shtml"/>
    <hyperlink ref="B11" r:id="rId26" display="http://stockdata.stock.hexun.com/603996.shtml"/>
    <hyperlink ref="O11" r:id="rId27" display="http://datainfo.hexun.com/urwh/newstock/xgzl/stockcode/603996.shtml"/>
    <hyperlink ref="A12" r:id="rId28" display="http://stockdata.stock.hexun.com/603508.shtml"/>
    <hyperlink ref="B12" r:id="rId29" display="http://stockdata.stock.hexun.com/603508.shtml"/>
    <hyperlink ref="O12" r:id="rId30" display="http://datainfo.hexun.com/urwh/newstock/xgzl/stockcode/603508.shtml"/>
    <hyperlink ref="A13" r:id="rId31" display="http://stockdata.stock.hexun.com/300495.shtml"/>
    <hyperlink ref="B13" r:id="rId32" display="http://stockdata.stock.hexun.com/300495.shtml"/>
    <hyperlink ref="O13" r:id="rId33" display="http://datainfo.hexun.com/urwh/newstock/xgzl/stockcode/300495.shtml"/>
    <hyperlink ref="A14" r:id="rId34" display="http://stockdata.stock.hexun.com/300492.shtml"/>
    <hyperlink ref="B14" r:id="rId35" display="http://stockdata.stock.hexun.com/300492.shtml"/>
    <hyperlink ref="O14" r:id="rId36" display="http://datainfo.hexun.com/urwh/newstock/xgzl/stockcode/300492.shtml"/>
    <hyperlink ref="A15" r:id="rId37" display="http://stockdata.stock.hexun.com/002785.shtml"/>
    <hyperlink ref="B15" r:id="rId38" display="http://stockdata.stock.hexun.com/002785.shtml"/>
    <hyperlink ref="O15" r:id="rId39" display="http://datainfo.hexun.com/urwh/newstock/xgzl/stockcode/002785.shtml"/>
    <hyperlink ref="A16" r:id="rId40" display="http://stockdata.stock.hexun.com/002786.shtml"/>
    <hyperlink ref="B16" r:id="rId41" display="http://stockdata.stock.hexun.com/002786.shtml"/>
    <hyperlink ref="O16" r:id="rId42" display="http://datainfo.hexun.com/urwh/newstock/xgzl/stockcode/002786.shtml"/>
    <hyperlink ref="A17" r:id="rId43" display="http://stockdata.stock.hexun.com/002781.shtml"/>
    <hyperlink ref="B17" r:id="rId44" display="http://stockdata.stock.hexun.com/002781.shtml"/>
    <hyperlink ref="O17" r:id="rId45" display="http://datainfo.hexun.com/urwh/newstock/xgzl/stockcode/002781.shtml"/>
    <hyperlink ref="A18" r:id="rId46" display="http://stockdata.stock.hexun.com/002782.shtml"/>
    <hyperlink ref="B18" r:id="rId47" display="http://stockdata.stock.hexun.com/002782.shtml"/>
    <hyperlink ref="O18" r:id="rId48" display="http://datainfo.hexun.com/urwh/newstock/xgzl/stockcode/002782.shtml"/>
    <hyperlink ref="A19" r:id="rId49" display="http://stockdata.stock.hexun.com/300497.shtml"/>
    <hyperlink ref="B19" r:id="rId50" display="http://stockdata.stock.hexun.com/300497.shtml"/>
    <hyperlink ref="L19" r:id="rId51" display="javascript:void(0)"/>
    <hyperlink ref="O19" r:id="rId52" display="http://datainfo.hexun.com/urwh/newstock/xgzl/stockcode/300497.shtml"/>
    <hyperlink ref="A20" r:id="rId53" display="http://stockdata.stock.hexun.com/300496.shtml"/>
    <hyperlink ref="B20" r:id="rId54" display="http://stockdata.stock.hexun.com/300496.shtml"/>
    <hyperlink ref="L20" r:id="rId55" display="javascript:void(0)"/>
    <hyperlink ref="O20" r:id="rId56" display="http://datainfo.hexun.com/urwh/newstock/xgzl/stockcode/300496.shtml"/>
    <hyperlink ref="A21" r:id="rId57" display="http://stockdata.stock.hexun.com/300493.shtml"/>
    <hyperlink ref="B21" r:id="rId58" display="http://stockdata.stock.hexun.com/300493.shtml"/>
    <hyperlink ref="L21" r:id="rId59" display="javascript:void(0)"/>
    <hyperlink ref="O21" r:id="rId60" display="http://datainfo.hexun.com/urwh/newstock/xgzl/stockcode/300493.shtml"/>
    <hyperlink ref="A22" r:id="rId61" display="http://stockdata.stock.hexun.com/002779.shtml"/>
    <hyperlink ref="B22" r:id="rId62" display="http://stockdata.stock.hexun.com/002779.shtml"/>
    <hyperlink ref="L22" r:id="rId63" display="javascript:void(0)"/>
    <hyperlink ref="O22" r:id="rId64" display="http://datainfo.hexun.com/urwh/newstock/xgzl/stockcode/002779.shtml"/>
    <hyperlink ref="A23" r:id="rId65" display="http://stockdata.stock.hexun.com/002780.shtml"/>
    <hyperlink ref="B23" r:id="rId66" display="http://stockdata.stock.hexun.com/002780.shtml"/>
    <hyperlink ref="L23" r:id="rId67" display="javascript:void(0)"/>
    <hyperlink ref="O23" r:id="rId68" display="http://datainfo.hexun.com/urwh/newstock/xgzl/stockcode/002780.shtml"/>
    <hyperlink ref="A24" r:id="rId69" display="http://stockdata.stock.hexun.com/603398.shtml"/>
    <hyperlink ref="B24" r:id="rId70" display="http://stockdata.stock.hexun.com/603398.shtml"/>
    <hyperlink ref="L24" r:id="rId71" display="javascript:void(0)"/>
    <hyperlink ref="O24" r:id="rId72" display="http://datainfo.hexun.com/urwh/newstock/xgzl/stockcode/603398.shtml"/>
    <hyperlink ref="A25" r:id="rId73" display="http://stockdata.stock.hexun.com/603696.shtml"/>
    <hyperlink ref="B25" r:id="rId74" display="http://stockdata.stock.hexun.com/603696.shtml"/>
    <hyperlink ref="L25" r:id="rId75" display="javascript:void(0)"/>
    <hyperlink ref="O25" r:id="rId76" display="http://datainfo.hexun.com/urwh/newstock/xgzl/stockcode/603696.shtml"/>
    <hyperlink ref="A26" r:id="rId77" display="http://stockdata.stock.hexun.com/603999.shtml"/>
    <hyperlink ref="B26" r:id="rId78" display="http://stockdata.stock.hexun.com/603999.shtml"/>
    <hyperlink ref="L26" r:id="rId79" display="javascript:void(0)"/>
    <hyperlink ref="O26" r:id="rId80" display="http://datainfo.hexun.com/urwh/newstock/xgzl/stockcode/603999.shtml"/>
    <hyperlink ref="A27" r:id="rId81" display="http://stockdata.stock.hexun.com/603936.shtml"/>
    <hyperlink ref="B27" r:id="rId82" display="http://stockdata.stock.hexun.com/603936.shtml"/>
    <hyperlink ref="L27" r:id="rId83" display="javascript:void(0)"/>
    <hyperlink ref="O27" r:id="rId84" display="http://datainfo.hexun.com/urwh/newstock/xgzl/stockcode/603936.shtml"/>
    <hyperlink ref="A28" r:id="rId85" display="http://stockdata.stock.hexun.com/603800.shtml"/>
    <hyperlink ref="B28" r:id="rId86" display="http://stockdata.stock.hexun.com/603800.shtml"/>
    <hyperlink ref="L28" r:id="rId87" display="javascript:void(0)"/>
    <hyperlink ref="O28" r:id="rId88" display="http://datainfo.hexun.com/urwh/newstock/xgzl/stockcode/603800.shtml"/>
    <hyperlink ref="A29" r:id="rId89" display="http://stockdata.stock.hexun.com/002783.shtml"/>
    <hyperlink ref="B29" r:id="rId90" display="http://stockdata.stock.hexun.com/002783.shtml"/>
    <hyperlink ref="L29" r:id="rId91" display="javascript:void(0)"/>
    <hyperlink ref="O29" r:id="rId92" display="http://datainfo.hexun.com/urwh/newstock/xgzl/stockcode/002783.shtml"/>
  </hyperlinks>
  <pageMargins left="0.7" right="0.7" top="0.75" bottom="0.75" header="0.3" footer="0.3"/>
  <pageSetup orientation="portrait" r:id="rId93"/>
  <drawing r:id="rId94"/>
</worksheet>
</file>

<file path=xl/worksheets/sheet3.xml><?xml version="1.0" encoding="utf-8"?>
<worksheet xmlns="http://schemas.openxmlformats.org/spreadsheetml/2006/main" xmlns:r="http://schemas.openxmlformats.org/officeDocument/2006/relationships">
  <dimension ref="A1:N31"/>
  <sheetViews>
    <sheetView topLeftCell="B16" workbookViewId="0">
      <selection activeCell="M20" sqref="M20"/>
    </sheetView>
  </sheetViews>
  <sheetFormatPr defaultRowHeight="15"/>
  <cols>
    <col min="1" max="1" width="8.7109375" style="21" bestFit="1" customWidth="1"/>
    <col min="13" max="13" width="108.7109375" bestFit="1" customWidth="1"/>
  </cols>
  <sheetData>
    <row r="1" spans="1:14" ht="15.75" thickBot="1">
      <c r="A1" s="19" t="s">
        <v>45</v>
      </c>
      <c r="B1" s="14" t="s">
        <v>46</v>
      </c>
      <c r="C1" s="14" t="s">
        <v>47</v>
      </c>
      <c r="D1" s="15" t="s">
        <v>48</v>
      </c>
      <c r="E1" t="s">
        <v>50</v>
      </c>
    </row>
    <row r="2" spans="1:14">
      <c r="A2" s="20">
        <v>42353</v>
      </c>
      <c r="B2" s="16">
        <v>2.1030000000000002</v>
      </c>
      <c r="C2" s="16">
        <v>2.1030000000000002</v>
      </c>
      <c r="D2" s="17">
        <v>1.6899999999999998E-2</v>
      </c>
    </row>
    <row r="3" spans="1:14">
      <c r="A3" s="20">
        <v>42352</v>
      </c>
      <c r="B3" s="16">
        <v>2.0680000000000001</v>
      </c>
      <c r="C3" s="16">
        <v>2.0680000000000001</v>
      </c>
      <c r="D3" s="17">
        <v>9.7999999999999997E-3</v>
      </c>
      <c r="E3" t="s">
        <v>49</v>
      </c>
      <c r="F3">
        <f>SUM(IPO_AShare!I10:I18)</f>
        <v>381168</v>
      </c>
    </row>
    <row r="4" spans="1:14">
      <c r="A4" s="20">
        <v>42349</v>
      </c>
      <c r="B4" s="16">
        <v>2.048</v>
      </c>
      <c r="C4" s="16">
        <v>2.048</v>
      </c>
      <c r="D4" s="18">
        <v>-7.7999999999999996E-3</v>
      </c>
      <c r="E4" t="s">
        <v>49</v>
      </c>
      <c r="F4">
        <f>SUM(IPO_AShare!I19)</f>
        <v>42349</v>
      </c>
    </row>
    <row r="5" spans="1:14">
      <c r="A5" s="20">
        <v>42348</v>
      </c>
      <c r="B5" s="16">
        <v>2.0640000000000001</v>
      </c>
      <c r="C5" s="16">
        <v>2.0640000000000001</v>
      </c>
      <c r="D5" s="18">
        <v>-1.9E-3</v>
      </c>
      <c r="J5" s="3" t="s">
        <v>53</v>
      </c>
      <c r="K5" t="s">
        <v>51</v>
      </c>
      <c r="M5" s="3" t="s">
        <v>55</v>
      </c>
    </row>
    <row r="6" spans="1:14">
      <c r="A6" s="20">
        <v>42347</v>
      </c>
      <c r="B6" s="16">
        <v>2.0680000000000001</v>
      </c>
      <c r="C6" s="16">
        <v>2.0680000000000001</v>
      </c>
      <c r="D6" s="17">
        <v>4.4000000000000003E-3</v>
      </c>
      <c r="J6" s="3" t="s">
        <v>54</v>
      </c>
      <c r="K6" t="s">
        <v>52</v>
      </c>
      <c r="M6" t="str">
        <f>_xll.AdStyleStructure($K$5, K6)</f>
        <v>ACC:00 FRQ:2 CLDR:PHI_FI SETTLE:0WD  CFADJ:NO DMC:FOLLOWING EMC:LASTDAY PX:CLEAN REFDATE:MATURITY YM:00</v>
      </c>
      <c r="N6" t="str">
        <f>_xll.AdStyleAttribute($K$5,K6, "DMC")</f>
        <v>FOLLOWING</v>
      </c>
    </row>
    <row r="7" spans="1:14">
      <c r="A7" s="20">
        <v>42346</v>
      </c>
      <c r="B7" s="16">
        <v>2.0590000000000002</v>
      </c>
      <c r="C7" s="16">
        <v>2.0590000000000002</v>
      </c>
      <c r="D7" s="17">
        <v>1.5E-3</v>
      </c>
      <c r="K7" t="s">
        <v>56</v>
      </c>
      <c r="M7" t="str">
        <f>_xll.AdStyleStructure($K$5, K7)</f>
        <v>ACC:A0 FRQ:1 CLDR:PHI_FI SETTLE:0WD  CFADJ:NO DMC:FOLLOWING EMC:LASTDAY PX:CLEAN REFDATE:MATURITY YM:MMBA0_CLDR</v>
      </c>
      <c r="N7" t="str">
        <f>_xll.AdStyleAttribute($K$5,K7, "DMC")</f>
        <v>FOLLOWING</v>
      </c>
    </row>
    <row r="8" spans="1:14">
      <c r="A8" s="20">
        <v>42345</v>
      </c>
      <c r="B8" s="16">
        <v>2.056</v>
      </c>
      <c r="C8" s="16">
        <v>2.056</v>
      </c>
      <c r="D8" s="17">
        <v>1.5299999999999999E-2</v>
      </c>
      <c r="M8" t="str">
        <f>_xll.AdStyleStructure($K$5, K8)</f>
        <v>ERROR 3050 - StyleCode : invalid value.</v>
      </c>
      <c r="N8" t="str">
        <f>_xll.AdStyleAttribute($K$5,K8, "DMC")</f>
        <v>ERROR 3050 - StyleCode : invalid value.</v>
      </c>
    </row>
    <row r="9" spans="1:14">
      <c r="A9" s="20">
        <v>42342</v>
      </c>
      <c r="B9" s="16">
        <v>2.0249999999999999</v>
      </c>
      <c r="C9" s="16">
        <v>2.0249999999999999</v>
      </c>
      <c r="D9" s="18">
        <v>-7.4000000000000003E-3</v>
      </c>
      <c r="M9" t="str">
        <f>_xll.AdStyleStructure($K$5, K9)</f>
        <v>ERROR 3050 - StyleCode : invalid value.</v>
      </c>
      <c r="N9" t="str">
        <f>_xll.AdStyleAttribute($K$5,K9, "DMC")</f>
        <v>ERROR 3050 - StyleCode : invalid value.</v>
      </c>
    </row>
    <row r="10" spans="1:14">
      <c r="A10" s="20">
        <v>42341</v>
      </c>
      <c r="B10" s="16">
        <v>2.04</v>
      </c>
      <c r="C10" s="16">
        <v>2.04</v>
      </c>
      <c r="D10" s="17">
        <v>4.1300000000000003E-2</v>
      </c>
      <c r="M10" t="str">
        <f>_xll.AdStyleStructure($K$5, K10)</f>
        <v>ERROR 3050 - StyleCode : invalid value.</v>
      </c>
      <c r="N10" t="str">
        <f>_xll.AdStyleAttribute($K$5,K10, "DMC")</f>
        <v>ERROR 3050 - StyleCode : invalid value.</v>
      </c>
    </row>
    <row r="11" spans="1:14">
      <c r="A11" s="20">
        <v>42340</v>
      </c>
      <c r="B11" s="16">
        <v>1.9590000000000001</v>
      </c>
      <c r="C11" s="16">
        <v>1.9590000000000001</v>
      </c>
      <c r="D11" s="18">
        <v>-1.95E-2</v>
      </c>
      <c r="E11" t="s">
        <v>49</v>
      </c>
      <c r="F11">
        <f>SUM(IPO_AShare!I20)</f>
        <v>42340</v>
      </c>
    </row>
    <row r="12" spans="1:14">
      <c r="A12" s="20">
        <v>42339</v>
      </c>
      <c r="B12" s="16">
        <v>1.998</v>
      </c>
      <c r="C12" s="16">
        <v>1.998</v>
      </c>
      <c r="D12" s="18">
        <v>-2.4400000000000002E-2</v>
      </c>
      <c r="E12" t="s">
        <v>49</v>
      </c>
      <c r="F12">
        <f>SUM(IPO_AShare!J21:J28)</f>
        <v>17209</v>
      </c>
    </row>
    <row r="13" spans="1:14">
      <c r="A13" s="20">
        <v>42338</v>
      </c>
      <c r="B13" s="16">
        <v>2.048</v>
      </c>
      <c r="C13" s="16">
        <v>2.048</v>
      </c>
      <c r="D13" s="17">
        <v>2E-3</v>
      </c>
      <c r="E13" t="s">
        <v>49</v>
      </c>
      <c r="F13">
        <f>IPO_AShare!J29</f>
        <v>3691</v>
      </c>
    </row>
    <row r="14" spans="1:14">
      <c r="A14" s="20">
        <v>42335</v>
      </c>
      <c r="B14" s="16">
        <v>2.044</v>
      </c>
      <c r="C14" s="16">
        <v>2.044</v>
      </c>
      <c r="D14" s="18">
        <v>-6.1499999999999999E-2</v>
      </c>
    </row>
    <row r="15" spans="1:14">
      <c r="A15" s="20">
        <v>42334</v>
      </c>
      <c r="B15" s="16">
        <v>2.1779999999999999</v>
      </c>
      <c r="C15" s="16">
        <v>2.1779999999999999</v>
      </c>
      <c r="D15" s="18">
        <v>-1.18E-2</v>
      </c>
    </row>
    <row r="16" spans="1:14">
      <c r="A16" s="20">
        <v>42333</v>
      </c>
      <c r="B16" s="16">
        <v>2.2040000000000002</v>
      </c>
      <c r="C16" s="16">
        <v>2.2040000000000002</v>
      </c>
      <c r="D16" s="17">
        <v>2.7E-2</v>
      </c>
    </row>
    <row r="17" spans="1:4">
      <c r="A17" s="20">
        <v>42332</v>
      </c>
      <c r="B17" s="16">
        <v>2.1459999999999999</v>
      </c>
      <c r="C17" s="16">
        <v>2.1459999999999999</v>
      </c>
      <c r="D17" s="17">
        <v>2.0400000000000001E-2</v>
      </c>
    </row>
    <row r="18" spans="1:4">
      <c r="A18" s="20">
        <v>42331</v>
      </c>
      <c r="B18" s="16">
        <v>2.1030000000000002</v>
      </c>
      <c r="C18" s="16">
        <v>2.1030000000000002</v>
      </c>
      <c r="D18" s="18">
        <v>-2.5000000000000001E-2</v>
      </c>
    </row>
    <row r="19" spans="1:4">
      <c r="A19" s="20">
        <v>42328</v>
      </c>
      <c r="B19" s="16">
        <v>2.157</v>
      </c>
      <c r="C19" s="16">
        <v>2.157</v>
      </c>
      <c r="D19" s="17">
        <v>2.23E-2</v>
      </c>
    </row>
    <row r="20" spans="1:4">
      <c r="A20" s="20">
        <v>42327</v>
      </c>
      <c r="B20" s="16">
        <v>2.11</v>
      </c>
      <c r="C20" s="16">
        <v>2.11</v>
      </c>
      <c r="D20" s="17">
        <v>4.5100000000000001E-2</v>
      </c>
    </row>
    <row r="21" spans="1:4">
      <c r="A21" s="20">
        <v>42326</v>
      </c>
      <c r="B21" s="16">
        <v>2.0190000000000001</v>
      </c>
      <c r="C21" s="16">
        <v>2.0190000000000001</v>
      </c>
      <c r="D21" s="18">
        <v>-2.5999999999999999E-2</v>
      </c>
    </row>
    <row r="22" spans="1:4">
      <c r="A22" s="20">
        <v>42325</v>
      </c>
      <c r="B22" s="16">
        <v>2.073</v>
      </c>
      <c r="C22" s="16">
        <v>2.073</v>
      </c>
      <c r="D22" s="18">
        <v>-1.89E-2</v>
      </c>
    </row>
    <row r="23" spans="1:4">
      <c r="A23" s="20">
        <v>42324</v>
      </c>
      <c r="B23" s="16">
        <v>2.113</v>
      </c>
      <c r="C23" s="16">
        <v>2.113</v>
      </c>
      <c r="D23" s="17">
        <v>3.73E-2</v>
      </c>
    </row>
    <row r="24" spans="1:4">
      <c r="A24" s="20">
        <v>42321</v>
      </c>
      <c r="B24" s="16">
        <v>2.0369999999999999</v>
      </c>
      <c r="C24" s="16">
        <v>2.0369999999999999</v>
      </c>
      <c r="D24" s="18">
        <v>-2.7699999999999999E-2</v>
      </c>
    </row>
    <row r="25" spans="1:4">
      <c r="A25" s="20">
        <v>42320</v>
      </c>
      <c r="B25" s="16">
        <v>2.0950000000000002</v>
      </c>
      <c r="C25" s="16">
        <v>2.0950000000000002</v>
      </c>
      <c r="D25" s="18">
        <v>-1.46E-2</v>
      </c>
    </row>
    <row r="26" spans="1:4">
      <c r="A26" s="20">
        <v>42319</v>
      </c>
      <c r="B26" s="16">
        <v>2.1259999999999999</v>
      </c>
      <c r="C26" s="16">
        <v>2.1259999999999999</v>
      </c>
      <c r="D26" s="17">
        <v>2.2599999999999999E-2</v>
      </c>
    </row>
    <row r="27" spans="1:4">
      <c r="A27" s="20">
        <v>42318</v>
      </c>
      <c r="B27" s="16">
        <v>2.0790000000000002</v>
      </c>
      <c r="C27" s="16">
        <v>2.0790000000000002</v>
      </c>
      <c r="D27" s="17">
        <v>2.8999999999999998E-3</v>
      </c>
    </row>
    <row r="28" spans="1:4">
      <c r="A28" s="20">
        <v>42317</v>
      </c>
      <c r="B28" s="16">
        <v>2.073</v>
      </c>
      <c r="C28" s="16">
        <v>2.073</v>
      </c>
      <c r="D28" s="17">
        <v>3.2399999999999998E-2</v>
      </c>
    </row>
    <row r="29" spans="1:4">
      <c r="A29" s="20">
        <v>42314</v>
      </c>
      <c r="B29" s="16">
        <v>2.008</v>
      </c>
      <c r="C29" s="16">
        <v>2.008</v>
      </c>
      <c r="D29" s="17">
        <v>4.2000000000000003E-2</v>
      </c>
    </row>
    <row r="30" spans="1:4">
      <c r="A30" s="20">
        <v>42313</v>
      </c>
      <c r="B30" s="16">
        <v>1.927</v>
      </c>
      <c r="C30" s="16">
        <v>1.927</v>
      </c>
      <c r="D30" s="17">
        <v>7.7999999999999996E-3</v>
      </c>
    </row>
    <row r="31" spans="1:4">
      <c r="A31" s="20">
        <v>42312</v>
      </c>
      <c r="B31" s="16">
        <v>1.9119999999999999</v>
      </c>
      <c r="C31" s="16">
        <v>1.9119999999999999</v>
      </c>
      <c r="D31" s="17">
        <v>6.9400000000000003E-2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G5"/>
  <sheetViews>
    <sheetView workbookViewId="0"/>
  </sheetViews>
  <sheetFormatPr defaultRowHeight="15"/>
  <cols>
    <col min="1" max="1" width="18.5703125" bestFit="1" customWidth="1"/>
    <col min="2" max="2" width="40.28515625" bestFit="1" customWidth="1"/>
    <col min="3" max="3" width="26.5703125" bestFit="1" customWidth="1"/>
    <col min="4" max="4" width="33.28515625" bestFit="1" customWidth="1"/>
    <col min="5" max="5" width="26.5703125" bestFit="1" customWidth="1"/>
    <col min="6" max="6" width="15.28515625" bestFit="1" customWidth="1"/>
    <col min="7" max="7" width="36.7109375" bestFit="1" customWidth="1"/>
  </cols>
  <sheetData>
    <row r="1" spans="1:7">
      <c r="A1" t="str">
        <f>_xll.TR("Portfolio(A-share porto)","TR.CommonName;TR.PE;TR.TRBCIndustryGroup;TR.TRBCEconomicSector;TR.PortfolioShares;TR.PortfolioWeight","CH=Fd RH=In")</f>
        <v>Updated at 11:41:11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</row>
    <row r="2" spans="1:7">
      <c r="A2" s="1" t="s">
        <v>75</v>
      </c>
      <c r="B2" t="s">
        <v>76</v>
      </c>
      <c r="C2">
        <v>7.1330589849108401</v>
      </c>
      <c r="D2" t="s">
        <v>77</v>
      </c>
      <c r="E2" t="s">
        <v>78</v>
      </c>
      <c r="F2">
        <v>0</v>
      </c>
      <c r="G2" t="s">
        <v>79</v>
      </c>
    </row>
    <row r="3" spans="1:7">
      <c r="A3" s="1" t="s">
        <v>80</v>
      </c>
      <c r="B3" t="s">
        <v>81</v>
      </c>
      <c r="C3">
        <v>81.207547169811306</v>
      </c>
      <c r="D3" t="s">
        <v>82</v>
      </c>
      <c r="E3" t="s">
        <v>83</v>
      </c>
      <c r="F3">
        <v>0</v>
      </c>
      <c r="G3" t="s">
        <v>79</v>
      </c>
    </row>
    <row r="4" spans="1:7">
      <c r="A4" s="1" t="s">
        <v>84</v>
      </c>
      <c r="B4" t="s">
        <v>85</v>
      </c>
      <c r="C4">
        <v>6.4391746148902698</v>
      </c>
      <c r="D4" t="s">
        <v>77</v>
      </c>
      <c r="E4" t="s">
        <v>78</v>
      </c>
      <c r="F4">
        <v>0</v>
      </c>
      <c r="G4" t="s">
        <v>79</v>
      </c>
    </row>
    <row r="5" spans="1:7">
      <c r="A5" s="1" t="s">
        <v>86</v>
      </c>
      <c r="B5" t="s">
        <v>87</v>
      </c>
      <c r="C5">
        <v>44.627938814449102</v>
      </c>
      <c r="D5" t="s">
        <v>88</v>
      </c>
      <c r="E5" t="s">
        <v>89</v>
      </c>
      <c r="F5">
        <v>0</v>
      </c>
      <c r="G5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IPO_AShare</vt:lpstr>
      <vt:lpstr>697</vt:lpstr>
      <vt:lpstr>experiment</vt:lpstr>
    </vt:vector>
  </TitlesOfParts>
  <Company>Thomson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Kaixin (Financial&amp;Risk)</dc:creator>
  <cp:lastModifiedBy>Jun</cp:lastModifiedBy>
  <dcterms:created xsi:type="dcterms:W3CDTF">2015-01-29T06:03:06Z</dcterms:created>
  <dcterms:modified xsi:type="dcterms:W3CDTF">2016-02-24T03:41:17Z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sync_UniqueId">
    <vt:lpwstr>943119</vt:lpwstr>
  </property>
  <property fmtid="{D5CDD505-2E9C-101B-9397-08002B2CF9AE}" pid="3" name="Jive_LatestUserAccountName">
    <vt:lpwstr>6033615</vt:lpwstr>
  </property>
  <property fmtid="{D5CDD505-2E9C-101B-9397-08002B2CF9AE}" pid="4" name="Offisync_ProviderInitializationData">
    <vt:lpwstr>https://thehub.thomsonreuters.com</vt:lpwstr>
  </property>
  <property fmtid="{D5CDD505-2E9C-101B-9397-08002B2CF9AE}" pid="5" name="Offisync_ServerID">
    <vt:lpwstr>827ef9c6-9019-45bb-9c94-05eb52e667cd</vt:lpwstr>
  </property>
  <property fmtid="{D5CDD505-2E9C-101B-9397-08002B2CF9AE}" pid="6" name="Jive_VersionGuid">
    <vt:lpwstr>096b6871-172d-4e11-8cce-1f378b3b0d53</vt:lpwstr>
  </property>
  <property fmtid="{D5CDD505-2E9C-101B-9397-08002B2CF9AE}" pid="7" name="Offisync_UpdateToken">
    <vt:lpwstr>2</vt:lpwstr>
  </property>
</Properties>
</file>